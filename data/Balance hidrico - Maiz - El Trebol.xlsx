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3040" windowHeight="9072" activeTab="3"/>
  </bookViews>
  <sheets>
    <sheet name="Dato" sheetId="11" r:id="rId1"/>
    <sheet name="Hoja2" sheetId="22" r:id="rId2"/>
    <sheet name="Hoja1" sheetId="21" r:id="rId3"/>
    <sheet name="ET - SGR" sheetId="17" r:id="rId4"/>
    <sheet name="Graficos (2)" sheetId="20" r:id="rId5"/>
    <sheet name="Hoja8" sheetId="12" state="hidden" r:id="rId6"/>
  </sheets>
  <externalReferences>
    <externalReference r:id="rId7"/>
  </externalReferences>
  <definedNames>
    <definedName name="_xlnm._FilterDatabase" localSheetId="3" hidden="1">'ET - SGR'!$A$1:$T$158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2" i="22" l="1"/>
  <c r="C24" i="22" s="1"/>
  <c r="G3" i="21" l="1"/>
  <c r="H3" i="21"/>
  <c r="G8" i="21" l="1"/>
  <c r="M137" i="17" l="1"/>
  <c r="M136" i="17"/>
  <c r="M135" i="17"/>
  <c r="M134" i="17"/>
  <c r="M133" i="17"/>
  <c r="M132" i="17"/>
  <c r="M131" i="17"/>
  <c r="M130" i="17"/>
  <c r="M129" i="17"/>
  <c r="M128" i="17"/>
  <c r="M81" i="17"/>
  <c r="M80" i="17"/>
  <c r="M79" i="17"/>
  <c r="M78" i="17"/>
  <c r="M77" i="17"/>
  <c r="M76" i="17"/>
  <c r="C10" i="22"/>
  <c r="F3" i="21"/>
  <c r="E3" i="21"/>
  <c r="D3" i="21"/>
  <c r="M82" i="17"/>
  <c r="M2" i="17"/>
  <c r="M3" i="17"/>
  <c r="M4" i="17"/>
  <c r="A2" i="17"/>
  <c r="M9" i="11"/>
  <c r="M7" i="11"/>
  <c r="M5" i="11"/>
  <c r="M4" i="11"/>
  <c r="N6" i="11"/>
  <c r="N5" i="11"/>
  <c r="N4" i="11"/>
  <c r="M6" i="11"/>
  <c r="B8" i="21"/>
  <c r="R76" i="17"/>
  <c r="Q76" i="17"/>
  <c r="J120" i="17"/>
  <c r="J119" i="17"/>
  <c r="F119" i="17"/>
  <c r="F118" i="17"/>
  <c r="R152" i="17"/>
  <c r="Q152" i="17"/>
  <c r="R137" i="17"/>
  <c r="Q137" i="17"/>
  <c r="R32" i="17"/>
  <c r="Q32" i="17"/>
  <c r="J138" i="17"/>
  <c r="J139" i="17"/>
  <c r="J140" i="17"/>
  <c r="J141" i="17"/>
  <c r="J142" i="17"/>
  <c r="J143" i="17"/>
  <c r="J144" i="17"/>
  <c r="J145" i="17"/>
  <c r="J146" i="17"/>
  <c r="J147" i="17"/>
  <c r="J148" i="17"/>
  <c r="J149" i="17"/>
  <c r="J150" i="17"/>
  <c r="J151" i="17"/>
  <c r="J152" i="17"/>
  <c r="M138" i="17"/>
  <c r="M139" i="17"/>
  <c r="M140" i="17"/>
  <c r="M141" i="17"/>
  <c r="M142" i="17"/>
  <c r="M143" i="17"/>
  <c r="M127" i="17"/>
  <c r="M126" i="17"/>
  <c r="M125" i="17"/>
  <c r="M124" i="17"/>
  <c r="M123" i="17"/>
  <c r="M122" i="17"/>
  <c r="M121" i="17"/>
  <c r="M120" i="17"/>
  <c r="M119" i="17"/>
  <c r="M118" i="17"/>
  <c r="M117" i="17"/>
  <c r="M116" i="17"/>
  <c r="M115" i="17"/>
  <c r="M114" i="17"/>
  <c r="M113" i="17"/>
  <c r="M112" i="17"/>
  <c r="M111" i="17"/>
  <c r="M110" i="17"/>
  <c r="M109" i="17"/>
  <c r="M108" i="17"/>
  <c r="M107" i="17"/>
  <c r="M106" i="17"/>
  <c r="M105" i="17"/>
  <c r="M104" i="17"/>
  <c r="M103" i="17"/>
  <c r="M102" i="17"/>
  <c r="M101" i="17"/>
  <c r="M100" i="17"/>
  <c r="M99" i="17"/>
  <c r="M98" i="17"/>
  <c r="M75" i="17"/>
  <c r="M74" i="17"/>
  <c r="M73" i="17"/>
  <c r="M72" i="17"/>
  <c r="M71" i="17"/>
  <c r="M70" i="17"/>
  <c r="M69" i="17"/>
  <c r="M68" i="17"/>
  <c r="R153" i="17"/>
  <c r="Q153" i="17"/>
  <c r="M152" i="17"/>
  <c r="M151" i="17"/>
  <c r="M150" i="17"/>
  <c r="M149" i="17"/>
  <c r="M148" i="17"/>
  <c r="M147" i="17"/>
  <c r="M146" i="17"/>
  <c r="M145" i="17"/>
  <c r="M144" i="17"/>
  <c r="F152" i="17"/>
  <c r="F151" i="17"/>
  <c r="F150" i="17"/>
  <c r="F149" i="17"/>
  <c r="F148" i="17"/>
  <c r="F147" i="17"/>
  <c r="F146" i="17"/>
  <c r="F145" i="17"/>
  <c r="F144" i="17"/>
  <c r="F143" i="17"/>
  <c r="F142" i="17"/>
  <c r="F141" i="17"/>
  <c r="F140" i="17"/>
  <c r="F139" i="17"/>
  <c r="F138" i="17"/>
  <c r="J64" i="17"/>
  <c r="O2" i="17"/>
  <c r="M20" i="17"/>
  <c r="F3" i="17"/>
  <c r="M23" i="17"/>
  <c r="M22" i="17"/>
  <c r="M21" i="17"/>
  <c r="J25" i="17"/>
  <c r="J2" i="17"/>
  <c r="J7" i="17"/>
  <c r="M38" i="17"/>
  <c r="M37" i="17"/>
  <c r="M36" i="17"/>
  <c r="M35" i="17"/>
  <c r="M34" i="17"/>
  <c r="J133" i="17"/>
  <c r="J132" i="17"/>
  <c r="J10" i="17"/>
  <c r="J153" i="17"/>
  <c r="J137" i="17"/>
  <c r="J136" i="17"/>
  <c r="J135" i="17"/>
  <c r="J134" i="17"/>
  <c r="J131" i="17"/>
  <c r="J130" i="17"/>
  <c r="J129" i="17"/>
  <c r="J128" i="17"/>
  <c r="J127" i="17"/>
  <c r="J126" i="17"/>
  <c r="J125" i="17"/>
  <c r="J124" i="17"/>
  <c r="J123" i="17"/>
  <c r="J122" i="17"/>
  <c r="J121" i="17"/>
  <c r="J118" i="17"/>
  <c r="J117" i="17"/>
  <c r="J116" i="17"/>
  <c r="J115" i="17"/>
  <c r="J114" i="17"/>
  <c r="J113" i="17"/>
  <c r="J112" i="17"/>
  <c r="J111" i="17"/>
  <c r="J110" i="17"/>
  <c r="J109" i="17"/>
  <c r="J108" i="17"/>
  <c r="J107" i="17"/>
  <c r="J106" i="17"/>
  <c r="J105" i="17"/>
  <c r="J104" i="17"/>
  <c r="J103" i="17"/>
  <c r="J102" i="17"/>
  <c r="J101" i="17"/>
  <c r="J100" i="17"/>
  <c r="J99" i="17"/>
  <c r="J98" i="17"/>
  <c r="J97" i="17"/>
  <c r="J96" i="17"/>
  <c r="J95" i="17"/>
  <c r="J94" i="17"/>
  <c r="J93" i="17"/>
  <c r="J92" i="17"/>
  <c r="J91" i="17"/>
  <c r="J90" i="17"/>
  <c r="J89" i="17"/>
  <c r="J88" i="17"/>
  <c r="J87" i="17"/>
  <c r="J86" i="17"/>
  <c r="J85" i="17"/>
  <c r="J84" i="17"/>
  <c r="J83" i="17"/>
  <c r="J82" i="17"/>
  <c r="J81" i="17"/>
  <c r="J80" i="17"/>
  <c r="J79" i="17"/>
  <c r="J78" i="17"/>
  <c r="J77" i="17"/>
  <c r="J76" i="17"/>
  <c r="J75" i="17"/>
  <c r="J74" i="17"/>
  <c r="J73" i="17"/>
  <c r="J72" i="17"/>
  <c r="J71" i="17"/>
  <c r="J70" i="17"/>
  <c r="J69" i="17"/>
  <c r="J68" i="17"/>
  <c r="J67" i="17"/>
  <c r="J66" i="17"/>
  <c r="J65" i="17"/>
  <c r="J63" i="17"/>
  <c r="J62" i="17"/>
  <c r="J61" i="17"/>
  <c r="J60" i="17"/>
  <c r="J59" i="17"/>
  <c r="J58" i="17"/>
  <c r="J57" i="17"/>
  <c r="J56" i="17"/>
  <c r="J55" i="17"/>
  <c r="J54" i="17"/>
  <c r="J53" i="17"/>
  <c r="J52" i="17"/>
  <c r="J51" i="17"/>
  <c r="J50" i="17"/>
  <c r="J49" i="17"/>
  <c r="J48" i="17"/>
  <c r="J47" i="17"/>
  <c r="J46" i="17"/>
  <c r="J45" i="17"/>
  <c r="J44" i="17"/>
  <c r="J43" i="17"/>
  <c r="J42" i="17"/>
  <c r="J41" i="17"/>
  <c r="J40" i="17"/>
  <c r="J39" i="17"/>
  <c r="J38" i="17"/>
  <c r="J37" i="17"/>
  <c r="J36" i="17"/>
  <c r="J35" i="17"/>
  <c r="J34" i="17"/>
  <c r="J33" i="17"/>
  <c r="J32" i="17"/>
  <c r="J31" i="17"/>
  <c r="J30" i="17"/>
  <c r="J29" i="17"/>
  <c r="J28" i="17"/>
  <c r="J27" i="17"/>
  <c r="J26" i="17"/>
  <c r="J24" i="17"/>
  <c r="J23" i="17"/>
  <c r="J22" i="17"/>
  <c r="J21" i="17"/>
  <c r="J20" i="17"/>
  <c r="J19" i="17"/>
  <c r="J18" i="17"/>
  <c r="J17" i="17"/>
  <c r="J16" i="17"/>
  <c r="J15" i="17"/>
  <c r="J14" i="17"/>
  <c r="J13" i="17"/>
  <c r="J12" i="17"/>
  <c r="J11" i="17"/>
  <c r="J9" i="17"/>
  <c r="J8" i="17"/>
  <c r="J6" i="17"/>
  <c r="J5" i="17"/>
  <c r="J4" i="17"/>
  <c r="J3" i="17"/>
  <c r="M9" i="17"/>
  <c r="F9" i="17"/>
  <c r="M10" i="17"/>
  <c r="J156" i="17"/>
  <c r="M7" i="17"/>
  <c r="M87" i="17"/>
  <c r="M67" i="17"/>
  <c r="M66" i="17"/>
  <c r="M65" i="17"/>
  <c r="M64" i="17"/>
  <c r="M63" i="17"/>
  <c r="M62" i="17"/>
  <c r="M61" i="17"/>
  <c r="M60" i="17"/>
  <c r="M59" i="17"/>
  <c r="M58" i="17"/>
  <c r="M86" i="17"/>
  <c r="M85" i="17"/>
  <c r="M84" i="17"/>
  <c r="M83" i="17"/>
  <c r="M153" i="17"/>
  <c r="D154" i="17"/>
  <c r="C154" i="17"/>
  <c r="F153" i="17"/>
  <c r="F137" i="17"/>
  <c r="F136" i="17"/>
  <c r="F135" i="17"/>
  <c r="F134" i="17"/>
  <c r="F133" i="17"/>
  <c r="F132" i="17"/>
  <c r="F131" i="17"/>
  <c r="F130" i="17"/>
  <c r="F129" i="17"/>
  <c r="F128" i="17"/>
  <c r="L6" i="11"/>
  <c r="L5" i="11"/>
  <c r="L4" i="11"/>
  <c r="K6" i="11"/>
  <c r="K5" i="11"/>
  <c r="K4" i="11"/>
  <c r="J6" i="11"/>
  <c r="J5" i="11"/>
  <c r="J4" i="11"/>
  <c r="N7" i="11"/>
  <c r="F127" i="17"/>
  <c r="F126" i="17"/>
  <c r="F125" i="17"/>
  <c r="F124" i="17"/>
  <c r="F123" i="17"/>
  <c r="F122" i="17"/>
  <c r="F121" i="17"/>
  <c r="F120" i="17"/>
  <c r="F117" i="17"/>
  <c r="F116" i="17"/>
  <c r="F115" i="17"/>
  <c r="F114" i="17"/>
  <c r="F113" i="17"/>
  <c r="F112" i="17"/>
  <c r="F111" i="17"/>
  <c r="F110" i="17"/>
  <c r="F109" i="17"/>
  <c r="F108" i="17"/>
  <c r="F107" i="17"/>
  <c r="F106" i="17"/>
  <c r="F105" i="17"/>
  <c r="F104" i="17"/>
  <c r="F103" i="17"/>
  <c r="F102" i="17"/>
  <c r="F101" i="17"/>
  <c r="F100" i="17"/>
  <c r="F99" i="17"/>
  <c r="F98" i="17"/>
  <c r="M97" i="17"/>
  <c r="F97" i="17"/>
  <c r="M96" i="17"/>
  <c r="F96" i="17"/>
  <c r="M95" i="17"/>
  <c r="F95" i="17"/>
  <c r="M94" i="17"/>
  <c r="F94" i="17"/>
  <c r="M93" i="17"/>
  <c r="F93" i="17"/>
  <c r="M92" i="17"/>
  <c r="F92" i="17"/>
  <c r="M91" i="17"/>
  <c r="F91" i="17"/>
  <c r="M90" i="17"/>
  <c r="F90" i="17"/>
  <c r="M89" i="17"/>
  <c r="F89" i="17"/>
  <c r="M88" i="17"/>
  <c r="F88" i="17"/>
  <c r="F87" i="17"/>
  <c r="F86" i="17"/>
  <c r="F85" i="17"/>
  <c r="F84" i="17"/>
  <c r="F83" i="17"/>
  <c r="F82" i="17"/>
  <c r="F81" i="17"/>
  <c r="F80" i="17"/>
  <c r="F79" i="17"/>
  <c r="F78" i="17"/>
  <c r="F77" i="17"/>
  <c r="F76" i="17"/>
  <c r="F75" i="17"/>
  <c r="F74" i="17"/>
  <c r="F73" i="17"/>
  <c r="F72" i="17"/>
  <c r="F71" i="17"/>
  <c r="F70" i="17"/>
  <c r="F69" i="17"/>
  <c r="F68" i="17"/>
  <c r="F67" i="17"/>
  <c r="F66" i="17"/>
  <c r="F65" i="17"/>
  <c r="F64" i="17"/>
  <c r="F63" i="17"/>
  <c r="F62" i="17"/>
  <c r="F61" i="17"/>
  <c r="F60" i="17"/>
  <c r="F59" i="17"/>
  <c r="F58" i="17"/>
  <c r="M57" i="17"/>
  <c r="F57" i="17"/>
  <c r="M56" i="17"/>
  <c r="F56" i="17"/>
  <c r="M55" i="17"/>
  <c r="F55" i="17"/>
  <c r="M54" i="17"/>
  <c r="F54" i="17"/>
  <c r="M53" i="17"/>
  <c r="F53" i="17"/>
  <c r="M52" i="17"/>
  <c r="F52" i="17"/>
  <c r="M51" i="17"/>
  <c r="F51" i="17"/>
  <c r="M50" i="17"/>
  <c r="F50" i="17"/>
  <c r="M49" i="17"/>
  <c r="F49" i="17"/>
  <c r="M48" i="17"/>
  <c r="F48" i="17"/>
  <c r="M47" i="17"/>
  <c r="F47" i="17"/>
  <c r="M46" i="17"/>
  <c r="F46" i="17"/>
  <c r="M45" i="17"/>
  <c r="F45" i="17"/>
  <c r="M44" i="17"/>
  <c r="F44" i="17"/>
  <c r="M43" i="17"/>
  <c r="F43" i="17"/>
  <c r="M42" i="17"/>
  <c r="F42" i="17"/>
  <c r="M41" i="17"/>
  <c r="F41" i="17"/>
  <c r="M40" i="17"/>
  <c r="F40" i="17"/>
  <c r="M39" i="17"/>
  <c r="F39" i="17"/>
  <c r="F38" i="17"/>
  <c r="F37" i="17"/>
  <c r="F36" i="17"/>
  <c r="F35" i="17"/>
  <c r="F34" i="17"/>
  <c r="M33" i="17"/>
  <c r="F33" i="17"/>
  <c r="M32" i="17"/>
  <c r="F32" i="17"/>
  <c r="M31" i="17"/>
  <c r="F31" i="17"/>
  <c r="M30" i="17"/>
  <c r="F30" i="17"/>
  <c r="M29" i="17"/>
  <c r="F29" i="17"/>
  <c r="M28" i="17"/>
  <c r="F28" i="17"/>
  <c r="M27" i="17"/>
  <c r="F27" i="17"/>
  <c r="M26" i="17"/>
  <c r="F26" i="17"/>
  <c r="M25" i="17"/>
  <c r="F25" i="17"/>
  <c r="M24" i="17"/>
  <c r="F24" i="17"/>
  <c r="F23" i="17"/>
  <c r="F22" i="17"/>
  <c r="F21" i="17"/>
  <c r="F20" i="17"/>
  <c r="M19" i="17"/>
  <c r="F19" i="17"/>
  <c r="M18" i="17"/>
  <c r="F18" i="17"/>
  <c r="M17" i="17"/>
  <c r="F17" i="17"/>
  <c r="M16" i="17"/>
  <c r="F16" i="17"/>
  <c r="M15" i="17"/>
  <c r="F15" i="17"/>
  <c r="M14" i="17"/>
  <c r="F14" i="17"/>
  <c r="M13" i="17"/>
  <c r="F13" i="17"/>
  <c r="M12" i="17"/>
  <c r="F12" i="17"/>
  <c r="M11" i="17"/>
  <c r="F11" i="17"/>
  <c r="F10" i="17"/>
  <c r="M8" i="17"/>
  <c r="F8" i="17"/>
  <c r="F7" i="17"/>
  <c r="M6" i="17"/>
  <c r="F6" i="17"/>
  <c r="M5" i="17"/>
  <c r="F5" i="17"/>
  <c r="F4" i="17"/>
  <c r="A3" i="17"/>
  <c r="A4" i="17" s="1"/>
  <c r="A5" i="17" s="1"/>
  <c r="A6" i="17" s="1"/>
  <c r="A7" i="17" s="1"/>
  <c r="A8" i="17" s="1"/>
  <c r="A9" i="17" s="1"/>
  <c r="A10" i="17" s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38" i="17" s="1"/>
  <c r="A39" i="17" s="1"/>
  <c r="A40" i="17" s="1"/>
  <c r="A41" i="17" s="1"/>
  <c r="A42" i="17" s="1"/>
  <c r="A43" i="17" s="1"/>
  <c r="A44" i="17" s="1"/>
  <c r="A45" i="17" s="1"/>
  <c r="A46" i="17" s="1"/>
  <c r="A47" i="17" s="1"/>
  <c r="A48" i="17" s="1"/>
  <c r="A49" i="17" s="1"/>
  <c r="A50" i="17" s="1"/>
  <c r="A51" i="17" s="1"/>
  <c r="A52" i="17" s="1"/>
  <c r="A53" i="17" s="1"/>
  <c r="A54" i="17" s="1"/>
  <c r="A55" i="17" s="1"/>
  <c r="A56" i="17" s="1"/>
  <c r="A57" i="17" s="1"/>
  <c r="A58" i="17" s="1"/>
  <c r="A59" i="17" s="1"/>
  <c r="A60" i="17" s="1"/>
  <c r="A61" i="17" s="1"/>
  <c r="A62" i="17" s="1"/>
  <c r="A63" i="17" s="1"/>
  <c r="A64" i="17" s="1"/>
  <c r="A65" i="17" s="1"/>
  <c r="A66" i="17" s="1"/>
  <c r="A67" i="17" s="1"/>
  <c r="A68" i="17" s="1"/>
  <c r="A69" i="17" s="1"/>
  <c r="A70" i="17" s="1"/>
  <c r="A71" i="17" s="1"/>
  <c r="A72" i="17" s="1"/>
  <c r="A73" i="17" s="1"/>
  <c r="A74" i="17" s="1"/>
  <c r="A75" i="17" s="1"/>
  <c r="A76" i="17" s="1"/>
  <c r="A77" i="17" s="1"/>
  <c r="A78" i="17" s="1"/>
  <c r="A79" i="17" s="1"/>
  <c r="A80" i="17" s="1"/>
  <c r="A81" i="17" s="1"/>
  <c r="A82" i="17" s="1"/>
  <c r="A83" i="17" s="1"/>
  <c r="A84" i="17" s="1"/>
  <c r="A85" i="17" s="1"/>
  <c r="A86" i="17" s="1"/>
  <c r="A87" i="17" s="1"/>
  <c r="A88" i="17" s="1"/>
  <c r="A89" i="17" s="1"/>
  <c r="A90" i="17" s="1"/>
  <c r="A91" i="17" s="1"/>
  <c r="A92" i="17" s="1"/>
  <c r="A93" i="17" s="1"/>
  <c r="A94" i="17" s="1"/>
  <c r="A95" i="17" s="1"/>
  <c r="A96" i="17" s="1"/>
  <c r="A97" i="17" s="1"/>
  <c r="A98" i="17" s="1"/>
  <c r="A99" i="17" s="1"/>
  <c r="A100" i="17" s="1"/>
  <c r="A101" i="17" s="1"/>
  <c r="A102" i="17" s="1"/>
  <c r="A103" i="17" s="1"/>
  <c r="A104" i="17" s="1"/>
  <c r="A105" i="17" s="1"/>
  <c r="A106" i="17" s="1"/>
  <c r="A107" i="17" s="1"/>
  <c r="A108" i="17" s="1"/>
  <c r="A109" i="17" s="1"/>
  <c r="A110" i="17" s="1"/>
  <c r="A111" i="17" s="1"/>
  <c r="A112" i="17" s="1"/>
  <c r="A113" i="17" s="1"/>
  <c r="A114" i="17" s="1"/>
  <c r="A115" i="17" s="1"/>
  <c r="A116" i="17" s="1"/>
  <c r="A117" i="17" s="1"/>
  <c r="A118" i="17" s="1"/>
  <c r="A119" i="17" s="1"/>
  <c r="A120" i="17" s="1"/>
  <c r="A121" i="17" s="1"/>
  <c r="A122" i="17" s="1"/>
  <c r="A123" i="17" s="1"/>
  <c r="A124" i="17" s="1"/>
  <c r="A125" i="17" s="1"/>
  <c r="A126" i="17" s="1"/>
  <c r="A127" i="17" s="1"/>
  <c r="A128" i="17" s="1"/>
  <c r="A129" i="17" s="1"/>
  <c r="A130" i="17" s="1"/>
  <c r="A131" i="17" s="1"/>
  <c r="A132" i="17" s="1"/>
  <c r="A133" i="17" s="1"/>
  <c r="A134" i="17" s="1"/>
  <c r="A135" i="17" s="1"/>
  <c r="A136" i="17" s="1"/>
  <c r="A137" i="17" s="1"/>
  <c r="A138" i="17" s="1"/>
  <c r="A139" i="17" s="1"/>
  <c r="A140" i="17" s="1"/>
  <c r="A141" i="17" s="1"/>
  <c r="A142" i="17" s="1"/>
  <c r="A143" i="17" s="1"/>
  <c r="A144" i="17" s="1"/>
  <c r="A145" i="17" s="1"/>
  <c r="A146" i="17" s="1"/>
  <c r="A147" i="17" s="1"/>
  <c r="A148" i="17" s="1"/>
  <c r="A149" i="17" s="1"/>
  <c r="A150" i="17" s="1"/>
  <c r="A151" i="17" s="1"/>
  <c r="A152" i="17" s="1"/>
  <c r="A153" i="17" s="1"/>
  <c r="F2" i="17"/>
  <c r="K2" i="17" s="1"/>
  <c r="S76" i="17" l="1"/>
  <c r="F8" i="21"/>
  <c r="H8" i="21"/>
  <c r="E8" i="21"/>
  <c r="D8" i="21"/>
  <c r="N2" i="17"/>
  <c r="G3" i="17"/>
  <c r="K3" i="17" s="1"/>
  <c r="S152" i="17"/>
  <c r="S153" i="17"/>
  <c r="P2" i="17"/>
  <c r="F154" i="17"/>
  <c r="J155" i="17" s="1"/>
  <c r="J157" i="17" s="1"/>
  <c r="S32" i="17"/>
  <c r="S137" i="17"/>
  <c r="J154" i="17"/>
  <c r="J158" i="17" l="1"/>
  <c r="L2" i="17"/>
  <c r="O3" i="17"/>
  <c r="P3" i="17" s="1"/>
  <c r="G4" i="17"/>
  <c r="K4" i="17" s="1"/>
  <c r="N3" i="17"/>
  <c r="G5" i="17" l="1"/>
  <c r="K5" i="17" s="1"/>
  <c r="N4" i="17"/>
  <c r="L4" i="17"/>
  <c r="O4" i="17"/>
  <c r="P4" i="17" s="1"/>
  <c r="O5" i="17" s="1"/>
  <c r="P5" i="17" s="1"/>
  <c r="O6" i="17" s="1"/>
  <c r="P6" i="17" s="1"/>
  <c r="O7" i="17" s="1"/>
  <c r="P7" i="17" s="1"/>
  <c r="O8" i="17" s="1"/>
  <c r="P8" i="17" s="1"/>
  <c r="O9" i="17" s="1"/>
  <c r="P9" i="17" s="1"/>
  <c r="O10" i="17" s="1"/>
  <c r="P10" i="17" s="1"/>
  <c r="O11" i="17" s="1"/>
  <c r="P11" i="17" s="1"/>
  <c r="O12" i="17" s="1"/>
  <c r="P12" i="17" s="1"/>
  <c r="O13" i="17" s="1"/>
  <c r="P13" i="17" s="1"/>
  <c r="O14" i="17" s="1"/>
  <c r="P14" i="17" s="1"/>
  <c r="O15" i="17" s="1"/>
  <c r="P15" i="17" s="1"/>
  <c r="O16" i="17" s="1"/>
  <c r="P16" i="17" s="1"/>
  <c r="O17" i="17" s="1"/>
  <c r="P17" i="17" s="1"/>
  <c r="O18" i="17" s="1"/>
  <c r="P18" i="17" s="1"/>
  <c r="O19" i="17" s="1"/>
  <c r="P19" i="17" s="1"/>
  <c r="O20" i="17" s="1"/>
  <c r="P20" i="17" s="1"/>
  <c r="O21" i="17" s="1"/>
  <c r="P21" i="17" s="1"/>
  <c r="O22" i="17" s="1"/>
  <c r="P22" i="17" s="1"/>
  <c r="O23" i="17" s="1"/>
  <c r="P23" i="17" s="1"/>
  <c r="O24" i="17" s="1"/>
  <c r="P24" i="17" s="1"/>
  <c r="O25" i="17" s="1"/>
  <c r="P25" i="17" s="1"/>
  <c r="O26" i="17" s="1"/>
  <c r="P26" i="17" s="1"/>
  <c r="O27" i="17" s="1"/>
  <c r="P27" i="17" s="1"/>
  <c r="O28" i="17" s="1"/>
  <c r="P28" i="17" s="1"/>
  <c r="O29" i="17" s="1"/>
  <c r="P29" i="17" s="1"/>
  <c r="O30" i="17" s="1"/>
  <c r="P30" i="17" s="1"/>
  <c r="O31" i="17" s="1"/>
  <c r="P31" i="17" s="1"/>
  <c r="O32" i="17" s="1"/>
  <c r="P32" i="17" s="1"/>
  <c r="O33" i="17" s="1"/>
  <c r="P33" i="17" s="1"/>
  <c r="O34" i="17" s="1"/>
  <c r="P34" i="17" s="1"/>
  <c r="O35" i="17" s="1"/>
  <c r="P35" i="17" s="1"/>
  <c r="O36" i="17" s="1"/>
  <c r="P36" i="17" s="1"/>
  <c r="O37" i="17" s="1"/>
  <c r="P37" i="17" s="1"/>
  <c r="O38" i="17" s="1"/>
  <c r="P38" i="17" s="1"/>
  <c r="O39" i="17" s="1"/>
  <c r="P39" i="17" s="1"/>
  <c r="O40" i="17" s="1"/>
  <c r="P40" i="17" s="1"/>
  <c r="O41" i="17" s="1"/>
  <c r="P41" i="17" s="1"/>
  <c r="O42" i="17" s="1"/>
  <c r="P42" i="17" s="1"/>
  <c r="O43" i="17" s="1"/>
  <c r="P43" i="17" s="1"/>
  <c r="O44" i="17" s="1"/>
  <c r="P44" i="17" s="1"/>
  <c r="O45" i="17" s="1"/>
  <c r="P45" i="17" s="1"/>
  <c r="O46" i="17" s="1"/>
  <c r="P46" i="17" s="1"/>
  <c r="O47" i="17" s="1"/>
  <c r="P47" i="17" s="1"/>
  <c r="O48" i="17" s="1"/>
  <c r="P48" i="17" s="1"/>
  <c r="O49" i="17" s="1"/>
  <c r="P49" i="17" s="1"/>
  <c r="O50" i="17" s="1"/>
  <c r="P50" i="17" s="1"/>
  <c r="O51" i="17" s="1"/>
  <c r="P51" i="17" s="1"/>
  <c r="O52" i="17" s="1"/>
  <c r="P52" i="17" s="1"/>
  <c r="O53" i="17" s="1"/>
  <c r="P53" i="17" s="1"/>
  <c r="O54" i="17" s="1"/>
  <c r="P54" i="17" s="1"/>
  <c r="O55" i="17" s="1"/>
  <c r="P55" i="17" s="1"/>
  <c r="O56" i="17" s="1"/>
  <c r="P56" i="17" s="1"/>
  <c r="O57" i="17" s="1"/>
  <c r="P57" i="17" s="1"/>
  <c r="O58" i="17" s="1"/>
  <c r="P58" i="17" s="1"/>
  <c r="O59" i="17" s="1"/>
  <c r="P59" i="17" s="1"/>
  <c r="O60" i="17" s="1"/>
  <c r="P60" i="17" s="1"/>
  <c r="O61" i="17" s="1"/>
  <c r="P61" i="17" s="1"/>
  <c r="O62" i="17" s="1"/>
  <c r="P62" i="17" s="1"/>
  <c r="O63" i="17" s="1"/>
  <c r="P63" i="17" s="1"/>
  <c r="O64" i="17" s="1"/>
  <c r="P64" i="17" s="1"/>
  <c r="O65" i="17" s="1"/>
  <c r="P65" i="17" s="1"/>
  <c r="O66" i="17" s="1"/>
  <c r="P66" i="17" s="1"/>
  <c r="O67" i="17" s="1"/>
  <c r="P67" i="17" s="1"/>
  <c r="O68" i="17" s="1"/>
  <c r="P68" i="17" s="1"/>
  <c r="O69" i="17" s="1"/>
  <c r="P69" i="17" s="1"/>
  <c r="O70" i="17" s="1"/>
  <c r="P70" i="17" s="1"/>
  <c r="O71" i="17" s="1"/>
  <c r="P71" i="17" s="1"/>
  <c r="O72" i="17" s="1"/>
  <c r="P72" i="17" s="1"/>
  <c r="O73" i="17" s="1"/>
  <c r="P73" i="17" s="1"/>
  <c r="O74" i="17" s="1"/>
  <c r="P74" i="17" s="1"/>
  <c r="O75" i="17" s="1"/>
  <c r="P75" i="17" s="1"/>
  <c r="O76" i="17" s="1"/>
  <c r="P76" i="17" s="1"/>
  <c r="O77" i="17" s="1"/>
  <c r="P77" i="17" s="1"/>
  <c r="O78" i="17" s="1"/>
  <c r="P78" i="17" s="1"/>
  <c r="O79" i="17" s="1"/>
  <c r="P79" i="17" s="1"/>
  <c r="O80" i="17" s="1"/>
  <c r="P80" i="17" s="1"/>
  <c r="O81" i="17" s="1"/>
  <c r="P81" i="17" s="1"/>
  <c r="O82" i="17" s="1"/>
  <c r="P82" i="17" s="1"/>
  <c r="O83" i="17" s="1"/>
  <c r="P83" i="17" s="1"/>
  <c r="O84" i="17" s="1"/>
  <c r="P84" i="17" s="1"/>
  <c r="O85" i="17" s="1"/>
  <c r="P85" i="17" s="1"/>
  <c r="O86" i="17" s="1"/>
  <c r="P86" i="17" s="1"/>
  <c r="O87" i="17" s="1"/>
  <c r="P87" i="17" s="1"/>
  <c r="O88" i="17" s="1"/>
  <c r="P88" i="17" s="1"/>
  <c r="O89" i="17" s="1"/>
  <c r="P89" i="17" s="1"/>
  <c r="O90" i="17" s="1"/>
  <c r="P90" i="17" s="1"/>
  <c r="O91" i="17" s="1"/>
  <c r="P91" i="17" s="1"/>
  <c r="O92" i="17" s="1"/>
  <c r="P92" i="17" s="1"/>
  <c r="O93" i="17" s="1"/>
  <c r="P93" i="17" s="1"/>
  <c r="O94" i="17" s="1"/>
  <c r="P94" i="17" s="1"/>
  <c r="O95" i="17" s="1"/>
  <c r="P95" i="17" s="1"/>
  <c r="O96" i="17" s="1"/>
  <c r="P96" i="17" s="1"/>
  <c r="O97" i="17" s="1"/>
  <c r="P97" i="17" s="1"/>
  <c r="O98" i="17" s="1"/>
  <c r="P98" i="17" s="1"/>
  <c r="O99" i="17" s="1"/>
  <c r="P99" i="17" s="1"/>
  <c r="O100" i="17" s="1"/>
  <c r="P100" i="17" s="1"/>
  <c r="O101" i="17" s="1"/>
  <c r="P101" i="17" s="1"/>
  <c r="O102" i="17" s="1"/>
  <c r="P102" i="17" s="1"/>
  <c r="O103" i="17" s="1"/>
  <c r="P103" i="17" s="1"/>
  <c r="O104" i="17" s="1"/>
  <c r="P104" i="17" s="1"/>
  <c r="O105" i="17" s="1"/>
  <c r="P105" i="17" s="1"/>
  <c r="O106" i="17" s="1"/>
  <c r="P106" i="17" s="1"/>
  <c r="O107" i="17" s="1"/>
  <c r="P107" i="17" s="1"/>
  <c r="O108" i="17" s="1"/>
  <c r="P108" i="17" s="1"/>
  <c r="O109" i="17" s="1"/>
  <c r="P109" i="17" s="1"/>
  <c r="O110" i="17" s="1"/>
  <c r="P110" i="17" s="1"/>
  <c r="O111" i="17" s="1"/>
  <c r="P111" i="17" s="1"/>
  <c r="O112" i="17" s="1"/>
  <c r="P112" i="17" s="1"/>
  <c r="O113" i="17" s="1"/>
  <c r="P113" i="17" s="1"/>
  <c r="O114" i="17" s="1"/>
  <c r="P114" i="17" s="1"/>
  <c r="O115" i="17" s="1"/>
  <c r="P115" i="17" s="1"/>
  <c r="O116" i="17" s="1"/>
  <c r="P116" i="17" s="1"/>
  <c r="O117" i="17" s="1"/>
  <c r="P117" i="17" s="1"/>
  <c r="O118" i="17" s="1"/>
  <c r="P118" i="17" s="1"/>
  <c r="O119" i="17" s="1"/>
  <c r="P119" i="17" s="1"/>
  <c r="O120" i="17" s="1"/>
  <c r="P120" i="17" s="1"/>
  <c r="O121" i="17" s="1"/>
  <c r="P121" i="17" s="1"/>
  <c r="O122" i="17" s="1"/>
  <c r="P122" i="17" s="1"/>
  <c r="O123" i="17" s="1"/>
  <c r="P123" i="17" s="1"/>
  <c r="O124" i="17" s="1"/>
  <c r="P124" i="17" s="1"/>
  <c r="O125" i="17" s="1"/>
  <c r="P125" i="17" s="1"/>
  <c r="O126" i="17" s="1"/>
  <c r="P126" i="17" s="1"/>
  <c r="O127" i="17" s="1"/>
  <c r="P127" i="17" s="1"/>
  <c r="O128" i="17" s="1"/>
  <c r="P128" i="17" s="1"/>
  <c r="O129" i="17" s="1"/>
  <c r="P129" i="17" s="1"/>
  <c r="O130" i="17" s="1"/>
  <c r="P130" i="17" s="1"/>
  <c r="O131" i="17" s="1"/>
  <c r="P131" i="17" s="1"/>
  <c r="O132" i="17" s="1"/>
  <c r="P132" i="17" s="1"/>
  <c r="O133" i="17" s="1"/>
  <c r="P133" i="17" s="1"/>
  <c r="O134" i="17" s="1"/>
  <c r="P134" i="17" s="1"/>
  <c r="O135" i="17" s="1"/>
  <c r="P135" i="17" s="1"/>
  <c r="O136" i="17" s="1"/>
  <c r="P136" i="17" s="1"/>
  <c r="O137" i="17" s="1"/>
  <c r="P137" i="17" s="1"/>
  <c r="L3" i="17"/>
  <c r="O153" i="17" l="1"/>
  <c r="P153" i="17" s="1"/>
  <c r="O138" i="17"/>
  <c r="P138" i="17" s="1"/>
  <c r="O139" i="17" s="1"/>
  <c r="P139" i="17" s="1"/>
  <c r="O140" i="17" s="1"/>
  <c r="P140" i="17" s="1"/>
  <c r="O141" i="17" s="1"/>
  <c r="P141" i="17" s="1"/>
  <c r="O142" i="17" s="1"/>
  <c r="P142" i="17" s="1"/>
  <c r="O143" i="17" s="1"/>
  <c r="P143" i="17" s="1"/>
  <c r="O144" i="17" s="1"/>
  <c r="P144" i="17" s="1"/>
  <c r="O145" i="17" s="1"/>
  <c r="P145" i="17" s="1"/>
  <c r="O146" i="17" s="1"/>
  <c r="P146" i="17" s="1"/>
  <c r="O147" i="17" s="1"/>
  <c r="P147" i="17" s="1"/>
  <c r="O148" i="17" s="1"/>
  <c r="P148" i="17" s="1"/>
  <c r="O149" i="17" s="1"/>
  <c r="P149" i="17" s="1"/>
  <c r="O150" i="17" s="1"/>
  <c r="P150" i="17" s="1"/>
  <c r="O151" i="17" s="1"/>
  <c r="P151" i="17" s="1"/>
  <c r="O152" i="17" s="1"/>
  <c r="P152" i="17" s="1"/>
  <c r="N5" i="17"/>
  <c r="G6" i="17"/>
  <c r="K6" i="17" s="1"/>
  <c r="L5" i="17"/>
  <c r="G7" i="17" l="1"/>
  <c r="K7" i="17" s="1"/>
  <c r="N6" i="17"/>
  <c r="L6" i="17"/>
  <c r="G8" i="17" l="1"/>
  <c r="K8" i="17" s="1"/>
  <c r="L7" i="17"/>
  <c r="N7" i="17"/>
  <c r="G9" i="17" l="1"/>
  <c r="K9" i="17" s="1"/>
  <c r="L8" i="17"/>
  <c r="N8" i="17"/>
  <c r="N9" i="17" l="1"/>
  <c r="L9" i="17"/>
  <c r="G10" i="17"/>
  <c r="K10" i="17" s="1"/>
  <c r="L10" i="17" l="1"/>
  <c r="G11" i="17"/>
  <c r="K11" i="17" s="1"/>
  <c r="N10" i="17"/>
  <c r="G12" i="17" l="1"/>
  <c r="K12" i="17" s="1"/>
  <c r="L11" i="17"/>
  <c r="N11" i="17"/>
  <c r="G13" i="17" l="1"/>
  <c r="K13" i="17" s="1"/>
  <c r="N12" i="17"/>
  <c r="L12" i="17"/>
  <c r="L13" i="17" l="1"/>
  <c r="N13" i="17"/>
  <c r="G14" i="17"/>
  <c r="K14" i="17" s="1"/>
  <c r="N14" i="17" l="1"/>
  <c r="L14" i="17"/>
  <c r="G15" i="17"/>
  <c r="K15" i="17" s="1"/>
  <c r="N15" i="17" l="1"/>
  <c r="G16" i="17"/>
  <c r="K16" i="17" s="1"/>
  <c r="L15" i="17"/>
  <c r="L16" i="17" l="1"/>
  <c r="G17" i="17"/>
  <c r="K17" i="17" s="1"/>
  <c r="N16" i="17"/>
  <c r="G18" i="17" l="1"/>
  <c r="K18" i="17" s="1"/>
  <c r="L17" i="17"/>
  <c r="N17" i="17"/>
  <c r="L18" i="17" l="1"/>
  <c r="G19" i="17"/>
  <c r="K19" i="17" s="1"/>
  <c r="N18" i="17"/>
  <c r="L19" i="17" l="1"/>
  <c r="G20" i="17"/>
  <c r="K20" i="17" s="1"/>
  <c r="N19" i="17"/>
  <c r="N20" i="17" l="1"/>
  <c r="L20" i="17"/>
  <c r="G21" i="17"/>
  <c r="K21" i="17" s="1"/>
  <c r="G22" i="17" l="1"/>
  <c r="K22" i="17" s="1"/>
  <c r="L21" i="17"/>
  <c r="N21" i="17"/>
  <c r="N22" i="17" l="1"/>
  <c r="L22" i="17"/>
  <c r="G23" i="17"/>
  <c r="K23" i="17" s="1"/>
  <c r="G24" i="17" l="1"/>
  <c r="K24" i="17" s="1"/>
  <c r="N23" i="17"/>
  <c r="L23" i="17"/>
  <c r="L24" i="17" l="1"/>
  <c r="N24" i="17"/>
  <c r="G25" i="17"/>
  <c r="K25" i="17" s="1"/>
  <c r="N25" i="17" l="1"/>
  <c r="G26" i="17"/>
  <c r="K26" i="17" s="1"/>
  <c r="L25" i="17"/>
  <c r="N26" i="17" l="1"/>
  <c r="L26" i="17"/>
  <c r="G27" i="17"/>
  <c r="K27" i="17" s="1"/>
  <c r="G28" i="17" l="1"/>
  <c r="K28" i="17" s="1"/>
  <c r="L27" i="17"/>
  <c r="N27" i="17"/>
  <c r="N28" i="17" l="1"/>
  <c r="L28" i="17"/>
  <c r="G29" i="17"/>
  <c r="K29" i="17" s="1"/>
  <c r="N29" i="17" l="1"/>
  <c r="G30" i="17"/>
  <c r="K30" i="17" s="1"/>
  <c r="L29" i="17"/>
  <c r="L30" i="17" l="1"/>
  <c r="N30" i="17"/>
  <c r="G31" i="17"/>
  <c r="K31" i="17" s="1"/>
  <c r="G32" i="17" l="1"/>
  <c r="K32" i="17" s="1"/>
  <c r="L31" i="17"/>
  <c r="N31" i="17"/>
  <c r="N32" i="17" l="1"/>
  <c r="L32" i="17"/>
  <c r="G33" i="17"/>
  <c r="K33" i="17" s="1"/>
  <c r="L33" i="17" l="1"/>
  <c r="N33" i="17"/>
  <c r="G34" i="17"/>
  <c r="K34" i="17" s="1"/>
  <c r="L34" i="17" l="1"/>
  <c r="G35" i="17"/>
  <c r="K35" i="17" s="1"/>
  <c r="N34" i="17"/>
  <c r="L35" i="17" l="1"/>
  <c r="N35" i="17"/>
  <c r="G36" i="17"/>
  <c r="K36" i="17" s="1"/>
  <c r="G37" i="17" l="1"/>
  <c r="K37" i="17" s="1"/>
  <c r="L36" i="17"/>
  <c r="N36" i="17"/>
  <c r="G38" i="17" l="1"/>
  <c r="K38" i="17" s="1"/>
  <c r="L37" i="17"/>
  <c r="N37" i="17"/>
  <c r="N38" i="17" l="1"/>
  <c r="L38" i="17"/>
  <c r="G39" i="17"/>
  <c r="K39" i="17" s="1"/>
  <c r="G40" i="17" l="1"/>
  <c r="K40" i="17" s="1"/>
  <c r="L39" i="17"/>
  <c r="N39" i="17"/>
  <c r="N40" i="17" l="1"/>
  <c r="L40" i="17"/>
  <c r="G41" i="17"/>
  <c r="K41" i="17" s="1"/>
  <c r="N41" i="17" l="1"/>
  <c r="G42" i="17"/>
  <c r="K42" i="17" s="1"/>
  <c r="L41" i="17"/>
  <c r="N42" i="17" l="1"/>
  <c r="G43" i="17"/>
  <c r="K43" i="17" s="1"/>
  <c r="L42" i="17"/>
  <c r="G44" i="17" l="1"/>
  <c r="K44" i="17" s="1"/>
  <c r="N43" i="17"/>
  <c r="L43" i="17"/>
  <c r="G45" i="17" l="1"/>
  <c r="K45" i="17" s="1"/>
  <c r="N44" i="17"/>
  <c r="L44" i="17"/>
  <c r="L45" i="17" l="1"/>
  <c r="N45" i="17"/>
  <c r="G46" i="17"/>
  <c r="K46" i="17" s="1"/>
  <c r="G47" i="17" l="1"/>
  <c r="K47" i="17" s="1"/>
  <c r="L46" i="17"/>
  <c r="N46" i="17"/>
  <c r="N47" i="17" l="1"/>
  <c r="L47" i="17"/>
  <c r="G48" i="17"/>
  <c r="K48" i="17" s="1"/>
  <c r="L48" i="17" l="1"/>
  <c r="N48" i="17"/>
  <c r="G49" i="17"/>
  <c r="K49" i="17" s="1"/>
  <c r="G50" i="17" l="1"/>
  <c r="K50" i="17" s="1"/>
  <c r="L49" i="17"/>
  <c r="N49" i="17"/>
  <c r="N50" i="17" l="1"/>
  <c r="G51" i="17"/>
  <c r="K51" i="17" s="1"/>
  <c r="L50" i="17"/>
  <c r="N51" i="17" l="1"/>
  <c r="G52" i="17"/>
  <c r="K52" i="17" s="1"/>
  <c r="L51" i="17"/>
  <c r="L52" i="17" l="1"/>
  <c r="G53" i="17"/>
  <c r="K53" i="17" s="1"/>
  <c r="N52" i="17"/>
  <c r="G54" i="17" l="1"/>
  <c r="K54" i="17" s="1"/>
  <c r="L53" i="17"/>
  <c r="N53" i="17"/>
  <c r="L54" i="17" l="1"/>
  <c r="G55" i="17"/>
  <c r="K55" i="17" s="1"/>
  <c r="N54" i="17"/>
  <c r="G56" i="17" l="1"/>
  <c r="K56" i="17" s="1"/>
  <c r="L55" i="17"/>
  <c r="N55" i="17"/>
  <c r="N56" i="17" l="1"/>
  <c r="G57" i="17"/>
  <c r="K57" i="17" s="1"/>
  <c r="L56" i="17"/>
  <c r="G58" i="17" l="1"/>
  <c r="K58" i="17" s="1"/>
  <c r="L57" i="17"/>
  <c r="N57" i="17"/>
  <c r="N58" i="17" l="1"/>
  <c r="L58" i="17"/>
  <c r="G59" i="17"/>
  <c r="K59" i="17" s="1"/>
  <c r="N59" i="17" l="1"/>
  <c r="L59" i="17"/>
  <c r="G60" i="17"/>
  <c r="K60" i="17" s="1"/>
  <c r="G61" i="17" l="1"/>
  <c r="K61" i="17" s="1"/>
  <c r="N60" i="17"/>
  <c r="L60" i="17"/>
  <c r="N61" i="17" l="1"/>
  <c r="G62" i="17"/>
  <c r="K62" i="17" s="1"/>
  <c r="L61" i="17"/>
  <c r="N62" i="17" l="1"/>
  <c r="L62" i="17"/>
  <c r="G63" i="17"/>
  <c r="K63" i="17" s="1"/>
  <c r="N63" i="17" l="1"/>
  <c r="G64" i="17"/>
  <c r="K64" i="17" s="1"/>
  <c r="L63" i="17"/>
  <c r="G65" i="17" l="1"/>
  <c r="K65" i="17" s="1"/>
  <c r="N64" i="17"/>
  <c r="L64" i="17"/>
  <c r="L65" i="17" l="1"/>
  <c r="N65" i="17"/>
  <c r="G66" i="17"/>
  <c r="K66" i="17" s="1"/>
  <c r="L66" i="17" l="1"/>
  <c r="N66" i="17"/>
  <c r="G67" i="17"/>
  <c r="K67" i="17" s="1"/>
  <c r="N67" i="17" l="1"/>
  <c r="L67" i="17"/>
  <c r="G68" i="17"/>
  <c r="K68" i="17" s="1"/>
  <c r="G69" i="17" l="1"/>
  <c r="K69" i="17" s="1"/>
  <c r="N68" i="17"/>
  <c r="L68" i="17"/>
  <c r="N69" i="17" l="1"/>
  <c r="L69" i="17"/>
  <c r="G70" i="17"/>
  <c r="K70" i="17" s="1"/>
  <c r="N70" i="17" l="1"/>
  <c r="G71" i="17"/>
  <c r="K71" i="17" s="1"/>
  <c r="L70" i="17"/>
  <c r="L71" i="17" l="1"/>
  <c r="G72" i="17"/>
  <c r="K72" i="17" s="1"/>
  <c r="N71" i="17"/>
  <c r="L72" i="17" l="1"/>
  <c r="G73" i="17"/>
  <c r="K73" i="17" s="1"/>
  <c r="N72" i="17"/>
  <c r="L73" i="17" l="1"/>
  <c r="G74" i="17"/>
  <c r="K74" i="17" s="1"/>
  <c r="N73" i="17"/>
  <c r="G75" i="17" l="1"/>
  <c r="K75" i="17" s="1"/>
  <c r="N74" i="17"/>
  <c r="L74" i="17"/>
  <c r="G76" i="17" l="1"/>
  <c r="K76" i="17" s="1"/>
  <c r="N75" i="17"/>
  <c r="L75" i="17"/>
  <c r="G77" i="17" l="1"/>
  <c r="K77" i="17" s="1"/>
  <c r="L76" i="17"/>
  <c r="N76" i="17"/>
  <c r="L77" i="17" l="1"/>
  <c r="G78" i="17"/>
  <c r="K78" i="17" s="1"/>
  <c r="N77" i="17"/>
  <c r="N78" i="17" l="1"/>
  <c r="L78" i="17"/>
  <c r="G79" i="17"/>
  <c r="K79" i="17" s="1"/>
  <c r="L79" i="17" l="1"/>
  <c r="N79" i="17"/>
  <c r="G80" i="17"/>
  <c r="K80" i="17" s="1"/>
  <c r="G81" i="17" l="1"/>
  <c r="K81" i="17" s="1"/>
  <c r="L80" i="17"/>
  <c r="N80" i="17"/>
  <c r="N81" i="17" l="1"/>
  <c r="L81" i="17"/>
  <c r="G82" i="17"/>
  <c r="K82" i="17" s="1"/>
  <c r="G83" i="17" l="1"/>
  <c r="K83" i="17" s="1"/>
  <c r="N82" i="17"/>
  <c r="L82" i="17"/>
  <c r="N83" i="17" l="1"/>
  <c r="L83" i="17"/>
  <c r="G84" i="17"/>
  <c r="K84" i="17" s="1"/>
  <c r="N84" i="17" l="1"/>
  <c r="G85" i="17"/>
  <c r="K85" i="17" s="1"/>
  <c r="L84" i="17"/>
  <c r="N85" i="17" l="1"/>
  <c r="L85" i="17"/>
  <c r="G86" i="17"/>
  <c r="K86" i="17" s="1"/>
  <c r="G87" i="17" l="1"/>
  <c r="K87" i="17" s="1"/>
  <c r="L86" i="17"/>
  <c r="N86" i="17"/>
  <c r="G88" i="17" l="1"/>
  <c r="K88" i="17" s="1"/>
  <c r="L87" i="17"/>
  <c r="N87" i="17"/>
  <c r="N88" i="17" l="1"/>
  <c r="G89" i="17"/>
  <c r="K89" i="17" s="1"/>
  <c r="L88" i="17"/>
  <c r="N89" i="17" l="1"/>
  <c r="G90" i="17"/>
  <c r="K90" i="17" s="1"/>
  <c r="L89" i="17"/>
  <c r="N90" i="17" l="1"/>
  <c r="L90" i="17"/>
  <c r="G91" i="17"/>
  <c r="K91" i="17" s="1"/>
  <c r="L91" i="17" l="1"/>
  <c r="G92" i="17"/>
  <c r="K92" i="17" s="1"/>
  <c r="N91" i="17"/>
  <c r="G93" i="17" l="1"/>
  <c r="K93" i="17" s="1"/>
  <c r="L92" i="17"/>
  <c r="N92" i="17"/>
  <c r="N93" i="17" l="1"/>
  <c r="L93" i="17"/>
  <c r="G94" i="17"/>
  <c r="K94" i="17" s="1"/>
  <c r="L94" i="17" l="1"/>
  <c r="N94" i="17"/>
  <c r="G95" i="17"/>
  <c r="K95" i="17" s="1"/>
  <c r="G96" i="17" l="1"/>
  <c r="K96" i="17" s="1"/>
  <c r="N95" i="17"/>
  <c r="L95" i="17"/>
  <c r="G97" i="17" l="1"/>
  <c r="K97" i="17" s="1"/>
  <c r="N96" i="17"/>
  <c r="L96" i="17"/>
  <c r="G98" i="17" l="1"/>
  <c r="K98" i="17" s="1"/>
  <c r="L97" i="17"/>
  <c r="N97" i="17"/>
  <c r="L98" i="17" l="1"/>
  <c r="G99" i="17"/>
  <c r="K99" i="17" s="1"/>
  <c r="N98" i="17"/>
  <c r="G100" i="17" l="1"/>
  <c r="K100" i="17" s="1"/>
  <c r="L99" i="17"/>
  <c r="N99" i="17"/>
  <c r="L100" i="17" l="1"/>
  <c r="N100" i="17"/>
  <c r="G101" i="17"/>
  <c r="K101" i="17" s="1"/>
  <c r="L101" i="17" l="1"/>
  <c r="N101" i="17"/>
  <c r="G102" i="17"/>
  <c r="K102" i="17" s="1"/>
  <c r="N102" i="17" l="1"/>
  <c r="G103" i="17"/>
  <c r="K103" i="17" s="1"/>
  <c r="L102" i="17"/>
  <c r="G104" i="17" l="1"/>
  <c r="K104" i="17" s="1"/>
  <c r="N103" i="17"/>
  <c r="L103" i="17"/>
  <c r="N104" i="17" l="1"/>
  <c r="G105" i="17"/>
  <c r="K105" i="17" s="1"/>
  <c r="L104" i="17"/>
  <c r="G106" i="17" l="1"/>
  <c r="K106" i="17" s="1"/>
  <c r="N105" i="17"/>
  <c r="L105" i="17"/>
  <c r="N106" i="17" l="1"/>
  <c r="L106" i="17"/>
  <c r="G107" i="17"/>
  <c r="K107" i="17" s="1"/>
  <c r="N107" i="17" l="1"/>
  <c r="L107" i="17"/>
  <c r="G108" i="17"/>
  <c r="K108" i="17" s="1"/>
  <c r="L108" i="17" l="1"/>
  <c r="G109" i="17"/>
  <c r="K109" i="17" s="1"/>
  <c r="N108" i="17"/>
  <c r="L109" i="17" l="1"/>
  <c r="G110" i="17"/>
  <c r="K110" i="17" s="1"/>
  <c r="N109" i="17"/>
  <c r="L110" i="17" l="1"/>
  <c r="N110" i="17"/>
  <c r="G111" i="17"/>
  <c r="K111" i="17" s="1"/>
  <c r="L111" i="17" l="1"/>
  <c r="G112" i="17"/>
  <c r="K112" i="17" s="1"/>
  <c r="N111" i="17"/>
  <c r="G113" i="17" l="1"/>
  <c r="K113" i="17" s="1"/>
  <c r="L112" i="17"/>
  <c r="N112" i="17"/>
  <c r="N113" i="17" l="1"/>
  <c r="L113" i="17"/>
  <c r="G114" i="17"/>
  <c r="K114" i="17" s="1"/>
  <c r="N114" i="17" l="1"/>
  <c r="G115" i="17"/>
  <c r="K115" i="17" s="1"/>
  <c r="L114" i="17"/>
  <c r="L115" i="17" l="1"/>
  <c r="G116" i="17"/>
  <c r="K116" i="17" s="1"/>
  <c r="N115" i="17"/>
  <c r="N116" i="17" l="1"/>
  <c r="G117" i="17"/>
  <c r="K117" i="17" s="1"/>
  <c r="L116" i="17"/>
  <c r="N117" i="17" l="1"/>
  <c r="G118" i="17"/>
  <c r="K118" i="17" s="1"/>
  <c r="L117" i="17"/>
  <c r="L118" i="17" l="1"/>
  <c r="G119" i="17"/>
  <c r="K119" i="17" s="1"/>
  <c r="N118" i="17"/>
  <c r="L119" i="17" l="1"/>
  <c r="N119" i="17"/>
  <c r="G120" i="17"/>
  <c r="K120" i="17" s="1"/>
  <c r="N120" i="17" l="1"/>
  <c r="G121" i="17"/>
  <c r="K121" i="17" s="1"/>
  <c r="L120" i="17"/>
  <c r="N121" i="17" l="1"/>
  <c r="L121" i="17"/>
  <c r="G122" i="17"/>
  <c r="K122" i="17" s="1"/>
  <c r="N122" i="17" l="1"/>
  <c r="L122" i="17"/>
  <c r="G123" i="17"/>
  <c r="K123" i="17" s="1"/>
  <c r="L123" i="17" l="1"/>
  <c r="N123" i="17"/>
  <c r="G124" i="17"/>
  <c r="K124" i="17" s="1"/>
  <c r="L124" i="17" l="1"/>
  <c r="N124" i="17"/>
  <c r="G125" i="17"/>
  <c r="K125" i="17" s="1"/>
  <c r="L125" i="17" l="1"/>
  <c r="N125" i="17"/>
  <c r="G126" i="17"/>
  <c r="K126" i="17" s="1"/>
  <c r="N126" i="17" l="1"/>
  <c r="G127" i="17"/>
  <c r="K127" i="17" s="1"/>
  <c r="L126" i="17"/>
  <c r="G128" i="17" l="1"/>
  <c r="K128" i="17" s="1"/>
  <c r="N127" i="17"/>
  <c r="L127" i="17"/>
  <c r="N128" i="17" l="1"/>
  <c r="G129" i="17"/>
  <c r="K129" i="17" s="1"/>
  <c r="L128" i="17"/>
  <c r="N129" i="17" l="1"/>
  <c r="L129" i="17"/>
  <c r="G130" i="17"/>
  <c r="K130" i="17" s="1"/>
  <c r="N130" i="17" l="1"/>
  <c r="L130" i="17"/>
  <c r="G131" i="17"/>
  <c r="K131" i="17" s="1"/>
  <c r="L131" i="17" l="1"/>
  <c r="N131" i="17"/>
  <c r="G132" i="17"/>
  <c r="K132" i="17" s="1"/>
  <c r="L132" i="17" l="1"/>
  <c r="G133" i="17"/>
  <c r="K133" i="17" s="1"/>
  <c r="N132" i="17"/>
  <c r="N133" i="17" l="1"/>
  <c r="G134" i="17"/>
  <c r="K134" i="17" s="1"/>
  <c r="L133" i="17"/>
  <c r="L134" i="17" l="1"/>
  <c r="N134" i="17"/>
  <c r="G135" i="17"/>
  <c r="K135" i="17" s="1"/>
  <c r="L135" i="17" l="1"/>
  <c r="G136" i="17"/>
  <c r="K136" i="17" s="1"/>
  <c r="N135" i="17"/>
  <c r="N136" i="17" l="1"/>
  <c r="L136" i="17"/>
  <c r="G137" i="17"/>
  <c r="K137" i="17" s="1"/>
  <c r="L137" i="17" l="1"/>
  <c r="G138" i="17"/>
  <c r="K138" i="17" s="1"/>
  <c r="G153" i="17"/>
  <c r="K153" i="17" s="1"/>
  <c r="N137" i="17"/>
  <c r="N153" i="17" l="1"/>
  <c r="L153" i="17"/>
  <c r="L138" i="17"/>
  <c r="N138" i="17"/>
  <c r="G139" i="17"/>
  <c r="K139" i="17" s="1"/>
  <c r="G140" i="17" l="1"/>
  <c r="K140" i="17" s="1"/>
  <c r="L139" i="17"/>
  <c r="N139" i="17"/>
  <c r="G141" i="17" l="1"/>
  <c r="K141" i="17" s="1"/>
  <c r="L140" i="17"/>
  <c r="N140" i="17"/>
  <c r="L141" i="17" l="1"/>
  <c r="N141" i="17"/>
  <c r="G142" i="17"/>
  <c r="K142" i="17" s="1"/>
  <c r="N142" i="17" l="1"/>
  <c r="G143" i="17"/>
  <c r="K143" i="17" s="1"/>
  <c r="L142" i="17"/>
  <c r="L143" i="17" l="1"/>
  <c r="G144" i="17"/>
  <c r="K144" i="17" s="1"/>
  <c r="N143" i="17"/>
  <c r="L144" i="17" l="1"/>
  <c r="N144" i="17"/>
  <c r="G145" i="17"/>
  <c r="K145" i="17" s="1"/>
  <c r="N145" i="17" l="1"/>
  <c r="G146" i="17"/>
  <c r="K146" i="17" s="1"/>
  <c r="L145" i="17"/>
  <c r="N146" i="17" l="1"/>
  <c r="G147" i="17"/>
  <c r="K147" i="17" s="1"/>
  <c r="L146" i="17"/>
  <c r="G148" i="17" l="1"/>
  <c r="K148" i="17" s="1"/>
  <c r="L147" i="17"/>
  <c r="N147" i="17"/>
  <c r="L148" i="17" l="1"/>
  <c r="G149" i="17"/>
  <c r="K149" i="17" s="1"/>
  <c r="N148" i="17"/>
  <c r="N149" i="17" l="1"/>
  <c r="L149" i="17"/>
  <c r="G150" i="17"/>
  <c r="K150" i="17" s="1"/>
  <c r="N150" i="17" l="1"/>
  <c r="G151" i="17"/>
  <c r="K151" i="17" s="1"/>
  <c r="L150" i="17"/>
  <c r="N151" i="17" l="1"/>
  <c r="L151" i="17"/>
  <c r="G152" i="17"/>
  <c r="K152" i="17" s="1"/>
  <c r="N152" i="17" l="1"/>
  <c r="L152" i="17"/>
</calcChain>
</file>

<file path=xl/sharedStrings.xml><?xml version="1.0" encoding="utf-8"?>
<sst xmlns="http://schemas.openxmlformats.org/spreadsheetml/2006/main" count="253" uniqueCount="80">
  <si>
    <t>Lluvia Efectiva</t>
  </si>
  <si>
    <t>&lt;15 mm</t>
  </si>
  <si>
    <t>15-30 mm.</t>
  </si>
  <si>
    <t>30-60</t>
  </si>
  <si>
    <t>&gt;60</t>
  </si>
  <si>
    <t>Fecha</t>
  </si>
  <si>
    <t>Estado Fenológico</t>
  </si>
  <si>
    <t>Riego(mm)</t>
  </si>
  <si>
    <t>Lluvia (mm)</t>
  </si>
  <si>
    <t>Coef.</t>
  </si>
  <si>
    <t>Lluvia Ef.</t>
  </si>
  <si>
    <t>Acumulado</t>
  </si>
  <si>
    <t>ETP (mm)</t>
  </si>
  <si>
    <t>KC</t>
  </si>
  <si>
    <t>ETC.Cult.</t>
  </si>
  <si>
    <t>Agua Útil</t>
  </si>
  <si>
    <t>% Agua Útil</t>
  </si>
  <si>
    <t>kc</t>
  </si>
  <si>
    <t>ETP</t>
  </si>
  <si>
    <t>DATOS:</t>
  </si>
  <si>
    <t>Emergencia</t>
  </si>
  <si>
    <t>Prom etapa</t>
  </si>
  <si>
    <t>Inicial</t>
  </si>
  <si>
    <t>Notas:</t>
  </si>
  <si>
    <t>Crecimiento</t>
  </si>
  <si>
    <t>Total Consumo</t>
  </si>
  <si>
    <t>Total ingresos lluvia + riego</t>
  </si>
  <si>
    <t>Almacenado inicio</t>
  </si>
  <si>
    <t>TOTAL INGRESO + ALMACENADO</t>
  </si>
  <si>
    <t>Saldo mm</t>
  </si>
  <si>
    <t>Dato campaña 2015-16 Hidraulica ER Urdinarrain</t>
  </si>
  <si>
    <t>Dato campaña 2014-15 Hidraulica ER Urdinarrain</t>
  </si>
  <si>
    <t>Datos tecnoagro</t>
  </si>
  <si>
    <t xml:space="preserve">Humedad Actual </t>
  </si>
  <si>
    <t>% HUM</t>
  </si>
  <si>
    <t>Densidad</t>
  </si>
  <si>
    <t>Espesor</t>
  </si>
  <si>
    <t>Humedad Actual</t>
  </si>
  <si>
    <t>CC</t>
  </si>
  <si>
    <t>PMP</t>
  </si>
  <si>
    <t xml:space="preserve">AGUA UTIL </t>
  </si>
  <si>
    <t>Humedad</t>
  </si>
  <si>
    <t>%</t>
  </si>
  <si>
    <t>gr/cm3</t>
  </si>
  <si>
    <t>dm</t>
  </si>
  <si>
    <t>mm</t>
  </si>
  <si>
    <t>perfil mm.</t>
  </si>
  <si>
    <t xml:space="preserve">  0-20cm</t>
  </si>
  <si>
    <t xml:space="preserve"> 20-40cm</t>
  </si>
  <si>
    <t xml:space="preserve"> 40-80cm</t>
  </si>
  <si>
    <t xml:space="preserve">Total </t>
  </si>
  <si>
    <t>Factor Ajuste</t>
  </si>
  <si>
    <t>AU Corregida</t>
  </si>
  <si>
    <t>25 de junio de 2024</t>
  </si>
  <si>
    <t>Umbral</t>
  </si>
  <si>
    <t>AU-Umbral</t>
  </si>
  <si>
    <t>AU: PP (sin R)</t>
  </si>
  <si>
    <t>Mad. Fisiologica</t>
  </si>
  <si>
    <t>Desarrollo - PC</t>
  </si>
  <si>
    <t>Madurez fisiológica</t>
  </si>
  <si>
    <t>Hacia madurez fisiológica</t>
  </si>
  <si>
    <t>Acumulado PP</t>
  </si>
  <si>
    <t>AU: Riego</t>
  </si>
  <si>
    <t>AU: Secano</t>
  </si>
  <si>
    <t>Lote</t>
  </si>
  <si>
    <t>Superficie</t>
  </si>
  <si>
    <t>F. Siembra</t>
  </si>
  <si>
    <t>ET - SGR</t>
  </si>
  <si>
    <t>Octubre</t>
  </si>
  <si>
    <t>Noviembre</t>
  </si>
  <si>
    <t>Diciembre</t>
  </si>
  <si>
    <t>Enero</t>
  </si>
  <si>
    <t>Febrero</t>
  </si>
  <si>
    <t>Total</t>
  </si>
  <si>
    <t>Pivot</t>
  </si>
  <si>
    <t>SGR</t>
  </si>
  <si>
    <t>El Trebol - Riego - Maiz</t>
  </si>
  <si>
    <t>Lamina</t>
  </si>
  <si>
    <t>Pivot: SGR</t>
  </si>
  <si>
    <t>MM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</si>
</sst>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dd\-mm\-yy;@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name val="Arial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rgb="FFFF0000"/>
      <name val="Calibri"/>
      <family val="2"/>
    </font>
    <font>
      <sz val="10"/>
      <name val="Times New Roman"/>
      <family val="1"/>
    </font>
    <font>
      <sz val="11"/>
      <color rgb="FFFF0000"/>
      <name val="Calibri"/>
      <family val="2"/>
    </font>
    <font>
      <sz val="11"/>
      <name val="Calibri"/>
      <family val="2"/>
    </font>
    <font>
      <sz val="10"/>
      <color rgb="FFFF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DD9C4"/>
        <bgColor rgb="FF000000"/>
      </patternFill>
    </fill>
    <fill>
      <patternFill patternType="solid">
        <fgColor rgb="FF4BACC6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969696"/>
        <bgColor rgb="FF000000"/>
      </patternFill>
    </fill>
    <fill>
      <patternFill patternType="solid">
        <fgColor theme="9" tint="0.39997558519241921"/>
        <bgColor rgb="FF000000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1" fillId="0" borderId="0"/>
  </cellStyleXfs>
  <cellXfs count="96">
    <xf numFmtId="0" fontId="0" fillId="0" borderId="0" xfId="0"/>
    <xf numFmtId="0" fontId="0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16" fontId="0" fillId="0" borderId="0" xfId="0" applyNumberFormat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1" fontId="0" fillId="0" borderId="1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0" fontId="5" fillId="5" borderId="1" xfId="0" applyFont="1" applyFill="1" applyBorder="1" applyAlignment="1">
      <alignment horizontal="center"/>
    </xf>
    <xf numFmtId="2" fontId="5" fillId="5" borderId="1" xfId="0" applyNumberFormat="1" applyFont="1" applyFill="1" applyBorder="1" applyAlignment="1">
      <alignment horizontal="center"/>
    </xf>
    <xf numFmtId="2" fontId="5" fillId="5" borderId="2" xfId="0" applyNumberFormat="1" applyFont="1" applyFill="1" applyBorder="1" applyAlignment="1">
      <alignment horizontal="center"/>
    </xf>
    <xf numFmtId="2" fontId="5" fillId="5" borderId="3" xfId="0" applyNumberFormat="1" applyFont="1" applyFill="1" applyBorder="1" applyAlignment="1">
      <alignment horizontal="center"/>
    </xf>
    <xf numFmtId="0" fontId="6" fillId="0" borderId="0" xfId="0" applyFont="1" applyFill="1" applyBorder="1"/>
    <xf numFmtId="0" fontId="6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2" fontId="6" fillId="8" borderId="1" xfId="0" applyNumberFormat="1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2" fontId="6" fillId="0" borderId="0" xfId="0" applyNumberFormat="1" applyFont="1" applyFill="1" applyBorder="1"/>
    <xf numFmtId="2" fontId="7" fillId="5" borderId="1" xfId="0" applyNumberFormat="1" applyFont="1" applyFill="1" applyBorder="1" applyAlignment="1">
      <alignment horizontal="center"/>
    </xf>
    <xf numFmtId="1" fontId="6" fillId="11" borderId="1" xfId="0" applyNumberFormat="1" applyFont="1" applyFill="1" applyBorder="1" applyAlignment="1">
      <alignment horizontal="center"/>
    </xf>
    <xf numFmtId="0" fontId="1" fillId="9" borderId="1" xfId="1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6" fillId="8" borderId="4" xfId="0" applyFont="1" applyFill="1" applyBorder="1" applyAlignment="1">
      <alignment horizontal="center"/>
    </xf>
    <xf numFmtId="2" fontId="6" fillId="0" borderId="0" xfId="0" applyNumberFormat="1" applyFont="1" applyFill="1" applyBorder="1" applyAlignment="1">
      <alignment horizontal="center"/>
    </xf>
    <xf numFmtId="2" fontId="6" fillId="0" borderId="0" xfId="0" applyNumberFormat="1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8" fillId="0" borderId="0" xfId="0" applyFont="1" applyBorder="1"/>
    <xf numFmtId="2" fontId="3" fillId="0" borderId="0" xfId="0" applyNumberFormat="1" applyFont="1"/>
    <xf numFmtId="0" fontId="3" fillId="0" borderId="0" xfId="0" applyFont="1"/>
    <xf numFmtId="2" fontId="4" fillId="0" borderId="0" xfId="0" applyNumberFormat="1" applyFont="1" applyAlignment="1">
      <alignment horizontal="center"/>
    </xf>
    <xf numFmtId="2" fontId="0" fillId="4" borderId="5" xfId="0" applyNumberFormat="1" applyFill="1" applyBorder="1" applyAlignment="1">
      <alignment horizontal="center"/>
    </xf>
    <xf numFmtId="2" fontId="5" fillId="5" borderId="4" xfId="0" applyNumberFormat="1" applyFont="1" applyFill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16" fontId="0" fillId="0" borderId="0" xfId="0" applyNumberFormat="1"/>
    <xf numFmtId="4" fontId="0" fillId="0" borderId="0" xfId="0" applyNumberFormat="1"/>
    <xf numFmtId="0" fontId="4" fillId="12" borderId="4" xfId="0" applyFont="1" applyFill="1" applyBorder="1" applyAlignment="1">
      <alignment horizontal="left"/>
    </xf>
    <xf numFmtId="0" fontId="6" fillId="12" borderId="1" xfId="0" applyFont="1" applyFill="1" applyBorder="1" applyAlignment="1">
      <alignment horizontal="left"/>
    </xf>
    <xf numFmtId="0" fontId="6" fillId="10" borderId="1" xfId="0" applyFont="1" applyFill="1" applyBorder="1" applyAlignment="1">
      <alignment horizontal="left"/>
    </xf>
    <xf numFmtId="2" fontId="1" fillId="3" borderId="1" xfId="0" applyNumberFormat="1" applyFont="1" applyFill="1" applyBorder="1" applyAlignment="1">
      <alignment horizontal="center"/>
    </xf>
    <xf numFmtId="1" fontId="6" fillId="0" borderId="0" xfId="0" applyNumberFormat="1" applyFont="1" applyFill="1" applyBorder="1"/>
    <xf numFmtId="1" fontId="0" fillId="0" borderId="0" xfId="0" applyNumberFormat="1" applyAlignment="1">
      <alignment horizontal="center"/>
    </xf>
    <xf numFmtId="2" fontId="5" fillId="13" borderId="1" xfId="0" applyNumberFormat="1" applyFont="1" applyFill="1" applyBorder="1" applyAlignment="1">
      <alignment horizontal="center"/>
    </xf>
    <xf numFmtId="164" fontId="4" fillId="9" borderId="1" xfId="1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9" fillId="6" borderId="1" xfId="0" applyFont="1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10" fillId="6" borderId="1" xfId="0" applyFont="1" applyFill="1" applyBorder="1" applyAlignment="1">
      <alignment horizontal="center"/>
    </xf>
    <xf numFmtId="164" fontId="11" fillId="9" borderId="1" xfId="1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2" fillId="0" borderId="6" xfId="0" applyFont="1" applyBorder="1"/>
    <xf numFmtId="0" fontId="2" fillId="0" borderId="6" xfId="0" applyFont="1" applyBorder="1" applyAlignment="1">
      <alignment horizontal="center"/>
    </xf>
    <xf numFmtId="0" fontId="0" fillId="0" borderId="7" xfId="0" applyBorder="1"/>
    <xf numFmtId="0" fontId="0" fillId="0" borderId="7" xfId="0" applyBorder="1" applyAlignment="1">
      <alignment horizontal="center"/>
    </xf>
    <xf numFmtId="165" fontId="0" fillId="0" borderId="7" xfId="0" applyNumberForma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0" fontId="5" fillId="5" borderId="10" xfId="0" applyFont="1" applyFill="1" applyBorder="1" applyAlignment="1">
      <alignment horizontal="center"/>
    </xf>
    <xf numFmtId="0" fontId="5" fillId="5" borderId="1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16" fontId="0" fillId="0" borderId="14" xfId="0" applyNumberFormat="1" applyBorder="1" applyAlignment="1">
      <alignment horizontal="center"/>
    </xf>
    <xf numFmtId="0" fontId="0" fillId="0" borderId="14" xfId="0" applyBorder="1"/>
    <xf numFmtId="0" fontId="0" fillId="0" borderId="0" xfId="0" applyBorder="1"/>
    <xf numFmtId="0" fontId="0" fillId="0" borderId="15" xfId="0" applyBorder="1"/>
    <xf numFmtId="0" fontId="0" fillId="0" borderId="12" xfId="0" applyBorder="1"/>
    <xf numFmtId="0" fontId="0" fillId="0" borderId="17" xfId="0" applyBorder="1"/>
    <xf numFmtId="0" fontId="2" fillId="0" borderId="12" xfId="0" applyFont="1" applyBorder="1"/>
    <xf numFmtId="0" fontId="2" fillId="0" borderId="16" xfId="0" applyFont="1" applyBorder="1"/>
    <xf numFmtId="0" fontId="2" fillId="0" borderId="13" xfId="0" applyFont="1" applyBorder="1"/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Fill="1" applyBorder="1"/>
    <xf numFmtId="0" fontId="2" fillId="0" borderId="0" xfId="0" applyFont="1"/>
    <xf numFmtId="3" fontId="2" fillId="0" borderId="0" xfId="0" applyNumberFormat="1" applyFont="1" applyAlignment="1">
      <alignment horizontal="center"/>
    </xf>
    <xf numFmtId="0" fontId="0" fillId="0" borderId="0" xfId="0" applyAlignment="1">
      <alignment wrapText="1"/>
    </xf>
    <xf numFmtId="16" fontId="2" fillId="0" borderId="0" xfId="0" applyNumberFormat="1" applyFont="1" applyAlignment="1">
      <alignment horizontal="center"/>
    </xf>
    <xf numFmtId="0" fontId="0" fillId="0" borderId="8" xfId="0" applyBorder="1" applyAlignment="1"/>
    <xf numFmtId="0" fontId="0" fillId="0" borderId="9" xfId="0" applyBorder="1" applyAlignment="1"/>
    <xf numFmtId="0" fontId="0" fillId="0" borderId="18" xfId="0" applyBorder="1"/>
    <xf numFmtId="0" fontId="0" fillId="0" borderId="19" xfId="0" applyBorder="1"/>
    <xf numFmtId="16" fontId="2" fillId="0" borderId="14" xfId="0" applyNumberFormat="1" applyFont="1" applyBorder="1" applyAlignment="1">
      <alignment horizontal="center"/>
    </xf>
    <xf numFmtId="3" fontId="0" fillId="0" borderId="16" xfId="0" applyNumberFormat="1" applyBorder="1"/>
    <xf numFmtId="16" fontId="0" fillId="0" borderId="20" xfId="0" applyNumberFormat="1" applyBorder="1" applyAlignment="1">
      <alignment horizontal="center"/>
    </xf>
    <xf numFmtId="0" fontId="6" fillId="6" borderId="2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2">
    <cellStyle name="Normal" xfId="0" builtinId="0"/>
    <cellStyle name="Normal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Dato!$B$11:$B$31</c:f>
              <c:numCache>
                <c:formatCode>d\-mmm</c:formatCode>
                <c:ptCount val="21"/>
                <c:pt idx="0">
                  <c:v>45536</c:v>
                </c:pt>
                <c:pt idx="1">
                  <c:v>45542</c:v>
                </c:pt>
                <c:pt idx="2">
                  <c:v>45550</c:v>
                </c:pt>
                <c:pt idx="3">
                  <c:v>45556</c:v>
                </c:pt>
                <c:pt idx="4">
                  <c:v>45563</c:v>
                </c:pt>
                <c:pt idx="5">
                  <c:v>45572</c:v>
                </c:pt>
                <c:pt idx="6">
                  <c:v>45580</c:v>
                </c:pt>
                <c:pt idx="7">
                  <c:v>45586</c:v>
                </c:pt>
                <c:pt idx="8">
                  <c:v>45593</c:v>
                </c:pt>
                <c:pt idx="9">
                  <c:v>45603</c:v>
                </c:pt>
                <c:pt idx="10">
                  <c:v>45611</c:v>
                </c:pt>
                <c:pt idx="11">
                  <c:v>45617</c:v>
                </c:pt>
                <c:pt idx="12">
                  <c:v>45624</c:v>
                </c:pt>
                <c:pt idx="13">
                  <c:v>45633</c:v>
                </c:pt>
                <c:pt idx="14">
                  <c:v>45641</c:v>
                </c:pt>
                <c:pt idx="15">
                  <c:v>45647</c:v>
                </c:pt>
                <c:pt idx="16">
                  <c:v>45654</c:v>
                </c:pt>
                <c:pt idx="17">
                  <c:v>45664</c:v>
                </c:pt>
                <c:pt idx="18">
                  <c:v>45672</c:v>
                </c:pt>
                <c:pt idx="19">
                  <c:v>45678</c:v>
                </c:pt>
                <c:pt idx="20">
                  <c:v>45685</c:v>
                </c:pt>
              </c:numCache>
            </c:numRef>
          </c:cat>
          <c:val>
            <c:numRef>
              <c:f>Dato!$C$11:$C$30</c:f>
              <c:numCache>
                <c:formatCode>#,##0.00</c:formatCode>
                <c:ptCount val="20"/>
                <c:pt idx="0">
                  <c:v>0.05</c:v>
                </c:pt>
                <c:pt idx="1">
                  <c:v>0.09</c:v>
                </c:pt>
                <c:pt idx="2">
                  <c:v>0.14000000000000001</c:v>
                </c:pt>
                <c:pt idx="3">
                  <c:v>0.18</c:v>
                </c:pt>
                <c:pt idx="4">
                  <c:v>0.25</c:v>
                </c:pt>
                <c:pt idx="5">
                  <c:v>0.28000000000000003</c:v>
                </c:pt>
                <c:pt idx="6">
                  <c:v>0.44</c:v>
                </c:pt>
                <c:pt idx="7">
                  <c:v>0.51</c:v>
                </c:pt>
                <c:pt idx="8">
                  <c:v>0.64</c:v>
                </c:pt>
                <c:pt idx="9">
                  <c:v>0.77</c:v>
                </c:pt>
                <c:pt idx="10">
                  <c:v>0.84</c:v>
                </c:pt>
                <c:pt idx="11">
                  <c:v>0.96</c:v>
                </c:pt>
                <c:pt idx="12">
                  <c:v>1</c:v>
                </c:pt>
                <c:pt idx="13">
                  <c:v>1.1000000000000001</c:v>
                </c:pt>
                <c:pt idx="14">
                  <c:v>1.1000000000000001</c:v>
                </c:pt>
                <c:pt idx="15">
                  <c:v>1.1000000000000001</c:v>
                </c:pt>
                <c:pt idx="16">
                  <c:v>1</c:v>
                </c:pt>
                <c:pt idx="17">
                  <c:v>0.95</c:v>
                </c:pt>
                <c:pt idx="18">
                  <c:v>0.87</c:v>
                </c:pt>
                <c:pt idx="19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E9-4CB8-8F9F-6464531C4B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7862832"/>
        <c:axId val="547863488"/>
      </c:lineChart>
      <c:dateAx>
        <c:axId val="54786283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863488"/>
        <c:crosses val="autoZero"/>
        <c:auto val="1"/>
        <c:lblOffset val="100"/>
        <c:baseTimeUnit val="days"/>
      </c:dateAx>
      <c:valAx>
        <c:axId val="547863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862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AR"/>
              <a:t>Balance Hídrico Los Biondos</a:t>
            </a:r>
          </a:p>
          <a:p>
            <a:pPr>
              <a:defRPr/>
            </a:pPr>
            <a:r>
              <a:rPr lang="es-AR"/>
              <a:t>P1-B / Maiz / 2024-25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8.36623729726092E-2"/>
          <c:y val="0.14569861510470347"/>
          <c:w val="0.84887629046369217"/>
          <c:h val="0.73430546734225532"/>
        </c:manualLayout>
      </c:layout>
      <c:lineChart>
        <c:grouping val="standard"/>
        <c:varyColors val="0"/>
        <c:ser>
          <c:idx val="11"/>
          <c:order val="0"/>
          <c:tx>
            <c:strRef>
              <c:f>'ET - SGR'!$P$1</c:f>
              <c:strCache>
                <c:ptCount val="1"/>
                <c:pt idx="0">
                  <c:v>AU: Secano</c:v>
                </c:pt>
              </c:strCache>
            </c:strRef>
          </c:tx>
          <c:marker>
            <c:symbol val="none"/>
          </c:marker>
          <c:cat>
            <c:numRef>
              <c:f>'ET - SGR'!$A$2:$A$153</c:f>
              <c:numCache>
                <c:formatCode>d\-mmm</c:formatCode>
                <c:ptCount val="152"/>
                <c:pt idx="0">
                  <c:v>45917</c:v>
                </c:pt>
                <c:pt idx="1">
                  <c:v>45918</c:v>
                </c:pt>
                <c:pt idx="2">
                  <c:v>45919</c:v>
                </c:pt>
                <c:pt idx="3">
                  <c:v>45920</c:v>
                </c:pt>
                <c:pt idx="4">
                  <c:v>45921</c:v>
                </c:pt>
                <c:pt idx="5">
                  <c:v>45922</c:v>
                </c:pt>
                <c:pt idx="6">
                  <c:v>45923</c:v>
                </c:pt>
                <c:pt idx="7">
                  <c:v>45924</c:v>
                </c:pt>
                <c:pt idx="8">
                  <c:v>45925</c:v>
                </c:pt>
                <c:pt idx="9">
                  <c:v>45926</c:v>
                </c:pt>
                <c:pt idx="10">
                  <c:v>45927</c:v>
                </c:pt>
                <c:pt idx="11">
                  <c:v>45928</c:v>
                </c:pt>
                <c:pt idx="12">
                  <c:v>45929</c:v>
                </c:pt>
                <c:pt idx="13">
                  <c:v>45930</c:v>
                </c:pt>
                <c:pt idx="14">
                  <c:v>45931</c:v>
                </c:pt>
                <c:pt idx="15">
                  <c:v>45932</c:v>
                </c:pt>
                <c:pt idx="16">
                  <c:v>45933</c:v>
                </c:pt>
                <c:pt idx="17">
                  <c:v>45934</c:v>
                </c:pt>
                <c:pt idx="18">
                  <c:v>45935</c:v>
                </c:pt>
                <c:pt idx="19">
                  <c:v>45936</c:v>
                </c:pt>
                <c:pt idx="20">
                  <c:v>45937</c:v>
                </c:pt>
                <c:pt idx="21">
                  <c:v>45938</c:v>
                </c:pt>
                <c:pt idx="22">
                  <c:v>45939</c:v>
                </c:pt>
                <c:pt idx="23">
                  <c:v>45940</c:v>
                </c:pt>
                <c:pt idx="24">
                  <c:v>45941</c:v>
                </c:pt>
                <c:pt idx="25">
                  <c:v>45942</c:v>
                </c:pt>
                <c:pt idx="26">
                  <c:v>45943</c:v>
                </c:pt>
                <c:pt idx="27">
                  <c:v>45944</c:v>
                </c:pt>
                <c:pt idx="28">
                  <c:v>45945</c:v>
                </c:pt>
                <c:pt idx="29">
                  <c:v>45946</c:v>
                </c:pt>
                <c:pt idx="30">
                  <c:v>45947</c:v>
                </c:pt>
                <c:pt idx="31">
                  <c:v>45948</c:v>
                </c:pt>
                <c:pt idx="32">
                  <c:v>45949</c:v>
                </c:pt>
                <c:pt idx="33">
                  <c:v>45950</c:v>
                </c:pt>
                <c:pt idx="34">
                  <c:v>45951</c:v>
                </c:pt>
                <c:pt idx="35">
                  <c:v>45952</c:v>
                </c:pt>
                <c:pt idx="36">
                  <c:v>45953</c:v>
                </c:pt>
                <c:pt idx="37">
                  <c:v>45954</c:v>
                </c:pt>
                <c:pt idx="38">
                  <c:v>45955</c:v>
                </c:pt>
                <c:pt idx="39">
                  <c:v>45956</c:v>
                </c:pt>
                <c:pt idx="40">
                  <c:v>45957</c:v>
                </c:pt>
                <c:pt idx="41">
                  <c:v>45958</c:v>
                </c:pt>
                <c:pt idx="42">
                  <c:v>45959</c:v>
                </c:pt>
                <c:pt idx="43">
                  <c:v>45960</c:v>
                </c:pt>
                <c:pt idx="44">
                  <c:v>45961</c:v>
                </c:pt>
                <c:pt idx="45">
                  <c:v>45962</c:v>
                </c:pt>
                <c:pt idx="46">
                  <c:v>45963</c:v>
                </c:pt>
                <c:pt idx="47">
                  <c:v>45964</c:v>
                </c:pt>
                <c:pt idx="48">
                  <c:v>45965</c:v>
                </c:pt>
                <c:pt idx="49">
                  <c:v>45966</c:v>
                </c:pt>
                <c:pt idx="50">
                  <c:v>45967</c:v>
                </c:pt>
                <c:pt idx="51">
                  <c:v>45968</c:v>
                </c:pt>
                <c:pt idx="52">
                  <c:v>45969</c:v>
                </c:pt>
                <c:pt idx="53">
                  <c:v>45970</c:v>
                </c:pt>
                <c:pt idx="54">
                  <c:v>45971</c:v>
                </c:pt>
                <c:pt idx="55">
                  <c:v>45972</c:v>
                </c:pt>
                <c:pt idx="56">
                  <c:v>45973</c:v>
                </c:pt>
                <c:pt idx="57">
                  <c:v>45974</c:v>
                </c:pt>
                <c:pt idx="58">
                  <c:v>45975</c:v>
                </c:pt>
                <c:pt idx="59">
                  <c:v>45976</c:v>
                </c:pt>
                <c:pt idx="60">
                  <c:v>45977</c:v>
                </c:pt>
                <c:pt idx="61">
                  <c:v>45978</c:v>
                </c:pt>
                <c:pt idx="62">
                  <c:v>45979</c:v>
                </c:pt>
                <c:pt idx="63">
                  <c:v>45980</c:v>
                </c:pt>
                <c:pt idx="64">
                  <c:v>45981</c:v>
                </c:pt>
                <c:pt idx="65">
                  <c:v>45982</c:v>
                </c:pt>
                <c:pt idx="66">
                  <c:v>45983</c:v>
                </c:pt>
                <c:pt idx="67">
                  <c:v>45984</c:v>
                </c:pt>
                <c:pt idx="68">
                  <c:v>45985</c:v>
                </c:pt>
                <c:pt idx="69">
                  <c:v>45986</c:v>
                </c:pt>
                <c:pt idx="70">
                  <c:v>45987</c:v>
                </c:pt>
                <c:pt idx="71">
                  <c:v>45988</c:v>
                </c:pt>
                <c:pt idx="72">
                  <c:v>45989</c:v>
                </c:pt>
                <c:pt idx="73">
                  <c:v>45990</c:v>
                </c:pt>
                <c:pt idx="74">
                  <c:v>45991</c:v>
                </c:pt>
                <c:pt idx="75">
                  <c:v>45992</c:v>
                </c:pt>
                <c:pt idx="76">
                  <c:v>45993</c:v>
                </c:pt>
                <c:pt idx="77">
                  <c:v>45994</c:v>
                </c:pt>
                <c:pt idx="78">
                  <c:v>45995</c:v>
                </c:pt>
                <c:pt idx="79">
                  <c:v>45996</c:v>
                </c:pt>
                <c:pt idx="80">
                  <c:v>45997</c:v>
                </c:pt>
                <c:pt idx="81">
                  <c:v>45998</c:v>
                </c:pt>
                <c:pt idx="82">
                  <c:v>45999</c:v>
                </c:pt>
                <c:pt idx="83">
                  <c:v>46000</c:v>
                </c:pt>
                <c:pt idx="84">
                  <c:v>46001</c:v>
                </c:pt>
                <c:pt idx="85">
                  <c:v>46002</c:v>
                </c:pt>
                <c:pt idx="86">
                  <c:v>46003</c:v>
                </c:pt>
                <c:pt idx="87">
                  <c:v>46004</c:v>
                </c:pt>
                <c:pt idx="88">
                  <c:v>46005</c:v>
                </c:pt>
                <c:pt idx="89">
                  <c:v>46006</c:v>
                </c:pt>
                <c:pt idx="90">
                  <c:v>46007</c:v>
                </c:pt>
                <c:pt idx="91">
                  <c:v>46008</c:v>
                </c:pt>
                <c:pt idx="92">
                  <c:v>46009</c:v>
                </c:pt>
                <c:pt idx="93">
                  <c:v>46010</c:v>
                </c:pt>
                <c:pt idx="94">
                  <c:v>46011</c:v>
                </c:pt>
                <c:pt idx="95">
                  <c:v>46012</c:v>
                </c:pt>
                <c:pt idx="96">
                  <c:v>46013</c:v>
                </c:pt>
                <c:pt idx="97">
                  <c:v>46014</c:v>
                </c:pt>
                <c:pt idx="98">
                  <c:v>46015</c:v>
                </c:pt>
                <c:pt idx="99">
                  <c:v>46016</c:v>
                </c:pt>
                <c:pt idx="100">
                  <c:v>46017</c:v>
                </c:pt>
                <c:pt idx="101">
                  <c:v>46018</c:v>
                </c:pt>
                <c:pt idx="102">
                  <c:v>46019</c:v>
                </c:pt>
                <c:pt idx="103">
                  <c:v>46020</c:v>
                </c:pt>
                <c:pt idx="104">
                  <c:v>46021</c:v>
                </c:pt>
                <c:pt idx="105">
                  <c:v>46022</c:v>
                </c:pt>
                <c:pt idx="106">
                  <c:v>46023</c:v>
                </c:pt>
                <c:pt idx="107">
                  <c:v>46024</c:v>
                </c:pt>
                <c:pt idx="108">
                  <c:v>46025</c:v>
                </c:pt>
                <c:pt idx="109">
                  <c:v>46026</c:v>
                </c:pt>
                <c:pt idx="110">
                  <c:v>46027</c:v>
                </c:pt>
                <c:pt idx="111">
                  <c:v>46028</c:v>
                </c:pt>
                <c:pt idx="112">
                  <c:v>46029</c:v>
                </c:pt>
                <c:pt idx="113">
                  <c:v>46030</c:v>
                </c:pt>
                <c:pt idx="114">
                  <c:v>46031</c:v>
                </c:pt>
                <c:pt idx="115">
                  <c:v>46032</c:v>
                </c:pt>
                <c:pt idx="116">
                  <c:v>46033</c:v>
                </c:pt>
                <c:pt idx="117">
                  <c:v>46034</c:v>
                </c:pt>
                <c:pt idx="118">
                  <c:v>46035</c:v>
                </c:pt>
                <c:pt idx="119">
                  <c:v>46036</c:v>
                </c:pt>
                <c:pt idx="120">
                  <c:v>46037</c:v>
                </c:pt>
                <c:pt idx="121">
                  <c:v>46038</c:v>
                </c:pt>
                <c:pt idx="122">
                  <c:v>46039</c:v>
                </c:pt>
                <c:pt idx="123">
                  <c:v>46040</c:v>
                </c:pt>
                <c:pt idx="124">
                  <c:v>46041</c:v>
                </c:pt>
                <c:pt idx="125">
                  <c:v>46042</c:v>
                </c:pt>
                <c:pt idx="126">
                  <c:v>46043</c:v>
                </c:pt>
                <c:pt idx="127">
                  <c:v>46044</c:v>
                </c:pt>
                <c:pt idx="128">
                  <c:v>46045</c:v>
                </c:pt>
                <c:pt idx="129">
                  <c:v>46046</c:v>
                </c:pt>
                <c:pt idx="130">
                  <c:v>46047</c:v>
                </c:pt>
                <c:pt idx="131">
                  <c:v>46048</c:v>
                </c:pt>
                <c:pt idx="132">
                  <c:v>46049</c:v>
                </c:pt>
                <c:pt idx="133">
                  <c:v>46050</c:v>
                </c:pt>
                <c:pt idx="134">
                  <c:v>46051</c:v>
                </c:pt>
                <c:pt idx="135">
                  <c:v>46052</c:v>
                </c:pt>
                <c:pt idx="136">
                  <c:v>46053</c:v>
                </c:pt>
                <c:pt idx="137">
                  <c:v>46054</c:v>
                </c:pt>
                <c:pt idx="138">
                  <c:v>46055</c:v>
                </c:pt>
                <c:pt idx="139">
                  <c:v>46056</c:v>
                </c:pt>
                <c:pt idx="140">
                  <c:v>46057</c:v>
                </c:pt>
                <c:pt idx="141">
                  <c:v>46058</c:v>
                </c:pt>
                <c:pt idx="142">
                  <c:v>46059</c:v>
                </c:pt>
                <c:pt idx="143">
                  <c:v>46060</c:v>
                </c:pt>
                <c:pt idx="144">
                  <c:v>46061</c:v>
                </c:pt>
                <c:pt idx="145">
                  <c:v>46062</c:v>
                </c:pt>
                <c:pt idx="146">
                  <c:v>46063</c:v>
                </c:pt>
                <c:pt idx="147">
                  <c:v>46064</c:v>
                </c:pt>
                <c:pt idx="148">
                  <c:v>46065</c:v>
                </c:pt>
                <c:pt idx="149">
                  <c:v>46066</c:v>
                </c:pt>
                <c:pt idx="150">
                  <c:v>46067</c:v>
                </c:pt>
                <c:pt idx="151">
                  <c:v>46068</c:v>
                </c:pt>
              </c:numCache>
            </c:numRef>
          </c:cat>
          <c:val>
            <c:numRef>
              <c:f>'ET - SGR'!$P$2:$P$153</c:f>
              <c:numCache>
                <c:formatCode>0</c:formatCode>
                <c:ptCount val="152"/>
                <c:pt idx="0">
                  <c:v>89.784000000000006</c:v>
                </c:pt>
                <c:pt idx="1">
                  <c:v>89.550000000000011</c:v>
                </c:pt>
                <c:pt idx="2">
                  <c:v>89.280000000000015</c:v>
                </c:pt>
                <c:pt idx="3">
                  <c:v>89.050500000000014</c:v>
                </c:pt>
                <c:pt idx="4">
                  <c:v>110.69050000000001</c:v>
                </c:pt>
                <c:pt idx="5">
                  <c:v>110.31250000000001</c:v>
                </c:pt>
                <c:pt idx="6">
                  <c:v>110.20450000000001</c:v>
                </c:pt>
                <c:pt idx="7">
                  <c:v>109.96150000000002</c:v>
                </c:pt>
                <c:pt idx="8">
                  <c:v>109.45750000000001</c:v>
                </c:pt>
                <c:pt idx="9">
                  <c:v>108.8135</c:v>
                </c:pt>
                <c:pt idx="10">
                  <c:v>108.2535</c:v>
                </c:pt>
                <c:pt idx="11">
                  <c:v>107.60250000000001</c:v>
                </c:pt>
                <c:pt idx="12">
                  <c:v>107.0985</c:v>
                </c:pt>
                <c:pt idx="13">
                  <c:v>106.46850000000001</c:v>
                </c:pt>
                <c:pt idx="14">
                  <c:v>105.6585</c:v>
                </c:pt>
                <c:pt idx="15">
                  <c:v>105.2085</c:v>
                </c:pt>
                <c:pt idx="16">
                  <c:v>104.4885</c:v>
                </c:pt>
                <c:pt idx="17">
                  <c:v>103.6785</c:v>
                </c:pt>
                <c:pt idx="18">
                  <c:v>120</c:v>
                </c:pt>
                <c:pt idx="19">
                  <c:v>119.06399999999999</c:v>
                </c:pt>
                <c:pt idx="20">
                  <c:v>118.12799999999999</c:v>
                </c:pt>
                <c:pt idx="21">
                  <c:v>117.26399999999998</c:v>
                </c:pt>
                <c:pt idx="22">
                  <c:v>116.51399999999998</c:v>
                </c:pt>
                <c:pt idx="23">
                  <c:v>115.21399999999998</c:v>
                </c:pt>
                <c:pt idx="24">
                  <c:v>113.93899999999998</c:v>
                </c:pt>
                <c:pt idx="25">
                  <c:v>112.68899999999998</c:v>
                </c:pt>
                <c:pt idx="26">
                  <c:v>111.43899999999998</c:v>
                </c:pt>
                <c:pt idx="27">
                  <c:v>110.18899999999998</c:v>
                </c:pt>
                <c:pt idx="28">
                  <c:v>108.93899999999998</c:v>
                </c:pt>
                <c:pt idx="29">
                  <c:v>107.66399999999997</c:v>
                </c:pt>
                <c:pt idx="30">
                  <c:v>106.23899999999998</c:v>
                </c:pt>
                <c:pt idx="31">
                  <c:v>103.59899999999998</c:v>
                </c:pt>
                <c:pt idx="32">
                  <c:v>101.70699999999998</c:v>
                </c:pt>
                <c:pt idx="33">
                  <c:v>99.154999999999973</c:v>
                </c:pt>
                <c:pt idx="34">
                  <c:v>98.318999999999974</c:v>
                </c:pt>
                <c:pt idx="35">
                  <c:v>97.482999999999976</c:v>
                </c:pt>
                <c:pt idx="36">
                  <c:v>95.370999999999981</c:v>
                </c:pt>
                <c:pt idx="37">
                  <c:v>120</c:v>
                </c:pt>
                <c:pt idx="38">
                  <c:v>118.623</c:v>
                </c:pt>
                <c:pt idx="39">
                  <c:v>116.5575</c:v>
                </c:pt>
                <c:pt idx="40">
                  <c:v>114.46650000000001</c:v>
                </c:pt>
                <c:pt idx="41">
                  <c:v>111.91650000000001</c:v>
                </c:pt>
                <c:pt idx="42">
                  <c:v>109.36650000000002</c:v>
                </c:pt>
                <c:pt idx="43">
                  <c:v>106.76550000000002</c:v>
                </c:pt>
                <c:pt idx="44">
                  <c:v>104.01150000000001</c:v>
                </c:pt>
                <c:pt idx="45">
                  <c:v>102.05950000000001</c:v>
                </c:pt>
                <c:pt idx="46">
                  <c:v>99.499500000000012</c:v>
                </c:pt>
                <c:pt idx="47">
                  <c:v>96.747500000000016</c:v>
                </c:pt>
                <c:pt idx="48">
                  <c:v>96.427500000000023</c:v>
                </c:pt>
                <c:pt idx="49">
                  <c:v>94.283500000000018</c:v>
                </c:pt>
                <c:pt idx="50">
                  <c:v>91.147500000000022</c:v>
                </c:pt>
                <c:pt idx="51">
                  <c:v>120</c:v>
                </c:pt>
                <c:pt idx="52">
                  <c:v>116.07300000000001</c:v>
                </c:pt>
                <c:pt idx="53">
                  <c:v>115.072</c:v>
                </c:pt>
                <c:pt idx="54">
                  <c:v>110.7985</c:v>
                </c:pt>
                <c:pt idx="55">
                  <c:v>107.8725</c:v>
                </c:pt>
                <c:pt idx="56">
                  <c:v>112.86750000000001</c:v>
                </c:pt>
                <c:pt idx="57">
                  <c:v>110.40350000000001</c:v>
                </c:pt>
                <c:pt idx="58">
                  <c:v>110.0185</c:v>
                </c:pt>
                <c:pt idx="59">
                  <c:v>120</c:v>
                </c:pt>
                <c:pt idx="60">
                  <c:v>120</c:v>
                </c:pt>
                <c:pt idx="61">
                  <c:v>116.2655</c:v>
                </c:pt>
                <c:pt idx="62">
                  <c:v>112.0655</c:v>
                </c:pt>
                <c:pt idx="63">
                  <c:v>107.8655</c:v>
                </c:pt>
                <c:pt idx="64">
                  <c:v>116.58149999999999</c:v>
                </c:pt>
                <c:pt idx="65">
                  <c:v>112.12949999999999</c:v>
                </c:pt>
                <c:pt idx="66">
                  <c:v>107.4255</c:v>
                </c:pt>
                <c:pt idx="67">
                  <c:v>102.4695</c:v>
                </c:pt>
                <c:pt idx="68">
                  <c:v>99.025499999999994</c:v>
                </c:pt>
                <c:pt idx="69">
                  <c:v>93.745499999999993</c:v>
                </c:pt>
                <c:pt idx="70">
                  <c:v>89.905499999999989</c:v>
                </c:pt>
                <c:pt idx="71">
                  <c:v>86.54549999999999</c:v>
                </c:pt>
                <c:pt idx="72">
                  <c:v>82.225499999999982</c:v>
                </c:pt>
                <c:pt idx="73">
                  <c:v>77.233499999999978</c:v>
                </c:pt>
                <c:pt idx="74">
                  <c:v>76.465499999999977</c:v>
                </c:pt>
                <c:pt idx="75">
                  <c:v>75.513499999999979</c:v>
                </c:pt>
                <c:pt idx="76">
                  <c:v>69.465499999999977</c:v>
                </c:pt>
                <c:pt idx="77">
                  <c:v>64.089499999999973</c:v>
                </c:pt>
                <c:pt idx="78">
                  <c:v>59.289499999999975</c:v>
                </c:pt>
                <c:pt idx="79">
                  <c:v>57.369499999999974</c:v>
                </c:pt>
                <c:pt idx="80">
                  <c:v>53.481499999999976</c:v>
                </c:pt>
                <c:pt idx="81">
                  <c:v>47.529499999999977</c:v>
                </c:pt>
                <c:pt idx="82">
                  <c:v>44.60149999999998</c:v>
                </c:pt>
                <c:pt idx="83">
                  <c:v>37.60149999999998</c:v>
                </c:pt>
                <c:pt idx="84">
                  <c:v>30.401499999999981</c:v>
                </c:pt>
                <c:pt idx="85">
                  <c:v>25.60149999999998</c:v>
                </c:pt>
                <c:pt idx="86">
                  <c:v>21.60149999999998</c:v>
                </c:pt>
                <c:pt idx="87">
                  <c:v>15.60149999999998</c:v>
                </c:pt>
                <c:pt idx="88">
                  <c:v>8.7014999999999798</c:v>
                </c:pt>
                <c:pt idx="89">
                  <c:v>1.7014999999999798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22.4</c:v>
                </c:pt>
                <c:pt idx="96">
                  <c:v>15.359999999999998</c:v>
                </c:pt>
                <c:pt idx="97">
                  <c:v>8.1549999999999976</c:v>
                </c:pt>
                <c:pt idx="98">
                  <c:v>1.5549999999999971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10.005000000000001</c:v>
                </c:pt>
                <c:pt idx="121">
                  <c:v>3.963000000000001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F5-43F7-BCF6-2062402A663E}"/>
            </c:ext>
          </c:extLst>
        </c:ser>
        <c:ser>
          <c:idx val="0"/>
          <c:order val="1"/>
          <c:tx>
            <c:strRef>
              <c:f>'ET - SGR'!$K$1</c:f>
              <c:strCache>
                <c:ptCount val="1"/>
                <c:pt idx="0">
                  <c:v>AU: Riego</c:v>
                </c:pt>
              </c:strCache>
            </c:strRef>
          </c:tx>
          <c:spPr>
            <a:ln>
              <a:solidFill>
                <a:schemeClr val="accent1">
                  <a:lumMod val="75000"/>
                  <a:alpha val="77000"/>
                </a:schemeClr>
              </a:solidFill>
            </a:ln>
          </c:spPr>
          <c:marker>
            <c:symbol val="none"/>
          </c:marker>
          <c:cat>
            <c:numRef>
              <c:f>'ET - SGR'!$A$2:$A$153</c:f>
              <c:numCache>
                <c:formatCode>d\-mmm</c:formatCode>
                <c:ptCount val="152"/>
                <c:pt idx="0">
                  <c:v>45917</c:v>
                </c:pt>
                <c:pt idx="1">
                  <c:v>45918</c:v>
                </c:pt>
                <c:pt idx="2">
                  <c:v>45919</c:v>
                </c:pt>
                <c:pt idx="3">
                  <c:v>45920</c:v>
                </c:pt>
                <c:pt idx="4">
                  <c:v>45921</c:v>
                </c:pt>
                <c:pt idx="5">
                  <c:v>45922</c:v>
                </c:pt>
                <c:pt idx="6">
                  <c:v>45923</c:v>
                </c:pt>
                <c:pt idx="7">
                  <c:v>45924</c:v>
                </c:pt>
                <c:pt idx="8">
                  <c:v>45925</c:v>
                </c:pt>
                <c:pt idx="9">
                  <c:v>45926</c:v>
                </c:pt>
                <c:pt idx="10">
                  <c:v>45927</c:v>
                </c:pt>
                <c:pt idx="11">
                  <c:v>45928</c:v>
                </c:pt>
                <c:pt idx="12">
                  <c:v>45929</c:v>
                </c:pt>
                <c:pt idx="13">
                  <c:v>45930</c:v>
                </c:pt>
                <c:pt idx="14">
                  <c:v>45931</c:v>
                </c:pt>
                <c:pt idx="15">
                  <c:v>45932</c:v>
                </c:pt>
                <c:pt idx="16">
                  <c:v>45933</c:v>
                </c:pt>
                <c:pt idx="17">
                  <c:v>45934</c:v>
                </c:pt>
                <c:pt idx="18">
                  <c:v>45935</c:v>
                </c:pt>
                <c:pt idx="19">
                  <c:v>45936</c:v>
                </c:pt>
                <c:pt idx="20">
                  <c:v>45937</c:v>
                </c:pt>
                <c:pt idx="21">
                  <c:v>45938</c:v>
                </c:pt>
                <c:pt idx="22">
                  <c:v>45939</c:v>
                </c:pt>
                <c:pt idx="23">
                  <c:v>45940</c:v>
                </c:pt>
                <c:pt idx="24">
                  <c:v>45941</c:v>
                </c:pt>
                <c:pt idx="25">
                  <c:v>45942</c:v>
                </c:pt>
                <c:pt idx="26">
                  <c:v>45943</c:v>
                </c:pt>
                <c:pt idx="27">
                  <c:v>45944</c:v>
                </c:pt>
                <c:pt idx="28">
                  <c:v>45945</c:v>
                </c:pt>
                <c:pt idx="29">
                  <c:v>45946</c:v>
                </c:pt>
                <c:pt idx="30">
                  <c:v>45947</c:v>
                </c:pt>
                <c:pt idx="31">
                  <c:v>45948</c:v>
                </c:pt>
                <c:pt idx="32">
                  <c:v>45949</c:v>
                </c:pt>
                <c:pt idx="33">
                  <c:v>45950</c:v>
                </c:pt>
                <c:pt idx="34">
                  <c:v>45951</c:v>
                </c:pt>
                <c:pt idx="35">
                  <c:v>45952</c:v>
                </c:pt>
                <c:pt idx="36">
                  <c:v>45953</c:v>
                </c:pt>
                <c:pt idx="37">
                  <c:v>45954</c:v>
                </c:pt>
                <c:pt idx="38">
                  <c:v>45955</c:v>
                </c:pt>
                <c:pt idx="39">
                  <c:v>45956</c:v>
                </c:pt>
                <c:pt idx="40">
                  <c:v>45957</c:v>
                </c:pt>
                <c:pt idx="41">
                  <c:v>45958</c:v>
                </c:pt>
                <c:pt idx="42">
                  <c:v>45959</c:v>
                </c:pt>
                <c:pt idx="43">
                  <c:v>45960</c:v>
                </c:pt>
                <c:pt idx="44">
                  <c:v>45961</c:v>
                </c:pt>
                <c:pt idx="45">
                  <c:v>45962</c:v>
                </c:pt>
                <c:pt idx="46">
                  <c:v>45963</c:v>
                </c:pt>
                <c:pt idx="47">
                  <c:v>45964</c:v>
                </c:pt>
                <c:pt idx="48">
                  <c:v>45965</c:v>
                </c:pt>
                <c:pt idx="49">
                  <c:v>45966</c:v>
                </c:pt>
                <c:pt idx="50">
                  <c:v>45967</c:v>
                </c:pt>
                <c:pt idx="51">
                  <c:v>45968</c:v>
                </c:pt>
                <c:pt idx="52">
                  <c:v>45969</c:v>
                </c:pt>
                <c:pt idx="53">
                  <c:v>45970</c:v>
                </c:pt>
                <c:pt idx="54">
                  <c:v>45971</c:v>
                </c:pt>
                <c:pt idx="55">
                  <c:v>45972</c:v>
                </c:pt>
                <c:pt idx="56">
                  <c:v>45973</c:v>
                </c:pt>
                <c:pt idx="57">
                  <c:v>45974</c:v>
                </c:pt>
                <c:pt idx="58">
                  <c:v>45975</c:v>
                </c:pt>
                <c:pt idx="59">
                  <c:v>45976</c:v>
                </c:pt>
                <c:pt idx="60">
                  <c:v>45977</c:v>
                </c:pt>
                <c:pt idx="61">
                  <c:v>45978</c:v>
                </c:pt>
                <c:pt idx="62">
                  <c:v>45979</c:v>
                </c:pt>
                <c:pt idx="63">
                  <c:v>45980</c:v>
                </c:pt>
                <c:pt idx="64">
                  <c:v>45981</c:v>
                </c:pt>
                <c:pt idx="65">
                  <c:v>45982</c:v>
                </c:pt>
                <c:pt idx="66">
                  <c:v>45983</c:v>
                </c:pt>
                <c:pt idx="67">
                  <c:v>45984</c:v>
                </c:pt>
                <c:pt idx="68">
                  <c:v>45985</c:v>
                </c:pt>
                <c:pt idx="69">
                  <c:v>45986</c:v>
                </c:pt>
                <c:pt idx="70">
                  <c:v>45987</c:v>
                </c:pt>
                <c:pt idx="71">
                  <c:v>45988</c:v>
                </c:pt>
                <c:pt idx="72">
                  <c:v>45989</c:v>
                </c:pt>
                <c:pt idx="73">
                  <c:v>45990</c:v>
                </c:pt>
                <c:pt idx="74">
                  <c:v>45991</c:v>
                </c:pt>
                <c:pt idx="75">
                  <c:v>45992</c:v>
                </c:pt>
                <c:pt idx="76">
                  <c:v>45993</c:v>
                </c:pt>
                <c:pt idx="77">
                  <c:v>45994</c:v>
                </c:pt>
                <c:pt idx="78">
                  <c:v>45995</c:v>
                </c:pt>
                <c:pt idx="79">
                  <c:v>45996</c:v>
                </c:pt>
                <c:pt idx="80">
                  <c:v>45997</c:v>
                </c:pt>
                <c:pt idx="81">
                  <c:v>45998</c:v>
                </c:pt>
                <c:pt idx="82">
                  <c:v>45999</c:v>
                </c:pt>
                <c:pt idx="83">
                  <c:v>46000</c:v>
                </c:pt>
                <c:pt idx="84">
                  <c:v>46001</c:v>
                </c:pt>
                <c:pt idx="85">
                  <c:v>46002</c:v>
                </c:pt>
                <c:pt idx="86">
                  <c:v>46003</c:v>
                </c:pt>
                <c:pt idx="87">
                  <c:v>46004</c:v>
                </c:pt>
                <c:pt idx="88">
                  <c:v>46005</c:v>
                </c:pt>
                <c:pt idx="89">
                  <c:v>46006</c:v>
                </c:pt>
                <c:pt idx="90">
                  <c:v>46007</c:v>
                </c:pt>
                <c:pt idx="91">
                  <c:v>46008</c:v>
                </c:pt>
                <c:pt idx="92">
                  <c:v>46009</c:v>
                </c:pt>
                <c:pt idx="93">
                  <c:v>46010</c:v>
                </c:pt>
                <c:pt idx="94">
                  <c:v>46011</c:v>
                </c:pt>
                <c:pt idx="95">
                  <c:v>46012</c:v>
                </c:pt>
                <c:pt idx="96">
                  <c:v>46013</c:v>
                </c:pt>
                <c:pt idx="97">
                  <c:v>46014</c:v>
                </c:pt>
                <c:pt idx="98">
                  <c:v>46015</c:v>
                </c:pt>
                <c:pt idx="99">
                  <c:v>46016</c:v>
                </c:pt>
                <c:pt idx="100">
                  <c:v>46017</c:v>
                </c:pt>
                <c:pt idx="101">
                  <c:v>46018</c:v>
                </c:pt>
                <c:pt idx="102">
                  <c:v>46019</c:v>
                </c:pt>
                <c:pt idx="103">
                  <c:v>46020</c:v>
                </c:pt>
                <c:pt idx="104">
                  <c:v>46021</c:v>
                </c:pt>
                <c:pt idx="105">
                  <c:v>46022</c:v>
                </c:pt>
                <c:pt idx="106">
                  <c:v>46023</c:v>
                </c:pt>
                <c:pt idx="107">
                  <c:v>46024</c:v>
                </c:pt>
                <c:pt idx="108">
                  <c:v>46025</c:v>
                </c:pt>
                <c:pt idx="109">
                  <c:v>46026</c:v>
                </c:pt>
                <c:pt idx="110">
                  <c:v>46027</c:v>
                </c:pt>
                <c:pt idx="111">
                  <c:v>46028</c:v>
                </c:pt>
                <c:pt idx="112">
                  <c:v>46029</c:v>
                </c:pt>
                <c:pt idx="113">
                  <c:v>46030</c:v>
                </c:pt>
                <c:pt idx="114">
                  <c:v>46031</c:v>
                </c:pt>
                <c:pt idx="115">
                  <c:v>46032</c:v>
                </c:pt>
                <c:pt idx="116">
                  <c:v>46033</c:v>
                </c:pt>
                <c:pt idx="117">
                  <c:v>46034</c:v>
                </c:pt>
                <c:pt idx="118">
                  <c:v>46035</c:v>
                </c:pt>
                <c:pt idx="119">
                  <c:v>46036</c:v>
                </c:pt>
                <c:pt idx="120">
                  <c:v>46037</c:v>
                </c:pt>
                <c:pt idx="121">
                  <c:v>46038</c:v>
                </c:pt>
                <c:pt idx="122">
                  <c:v>46039</c:v>
                </c:pt>
                <c:pt idx="123">
                  <c:v>46040</c:v>
                </c:pt>
                <c:pt idx="124">
                  <c:v>46041</c:v>
                </c:pt>
                <c:pt idx="125">
                  <c:v>46042</c:v>
                </c:pt>
                <c:pt idx="126">
                  <c:v>46043</c:v>
                </c:pt>
                <c:pt idx="127">
                  <c:v>46044</c:v>
                </c:pt>
                <c:pt idx="128">
                  <c:v>46045</c:v>
                </c:pt>
                <c:pt idx="129">
                  <c:v>46046</c:v>
                </c:pt>
                <c:pt idx="130">
                  <c:v>46047</c:v>
                </c:pt>
                <c:pt idx="131">
                  <c:v>46048</c:v>
                </c:pt>
                <c:pt idx="132">
                  <c:v>46049</c:v>
                </c:pt>
                <c:pt idx="133">
                  <c:v>46050</c:v>
                </c:pt>
                <c:pt idx="134">
                  <c:v>46051</c:v>
                </c:pt>
                <c:pt idx="135">
                  <c:v>46052</c:v>
                </c:pt>
                <c:pt idx="136">
                  <c:v>46053</c:v>
                </c:pt>
                <c:pt idx="137">
                  <c:v>46054</c:v>
                </c:pt>
                <c:pt idx="138">
                  <c:v>46055</c:v>
                </c:pt>
                <c:pt idx="139">
                  <c:v>46056</c:v>
                </c:pt>
                <c:pt idx="140">
                  <c:v>46057</c:v>
                </c:pt>
                <c:pt idx="141">
                  <c:v>46058</c:v>
                </c:pt>
                <c:pt idx="142">
                  <c:v>46059</c:v>
                </c:pt>
                <c:pt idx="143">
                  <c:v>46060</c:v>
                </c:pt>
                <c:pt idx="144">
                  <c:v>46061</c:v>
                </c:pt>
                <c:pt idx="145">
                  <c:v>46062</c:v>
                </c:pt>
                <c:pt idx="146">
                  <c:v>46063</c:v>
                </c:pt>
                <c:pt idx="147">
                  <c:v>46064</c:v>
                </c:pt>
                <c:pt idx="148">
                  <c:v>46065</c:v>
                </c:pt>
                <c:pt idx="149">
                  <c:v>46066</c:v>
                </c:pt>
                <c:pt idx="150">
                  <c:v>46067</c:v>
                </c:pt>
                <c:pt idx="151">
                  <c:v>46068</c:v>
                </c:pt>
              </c:numCache>
            </c:numRef>
          </c:cat>
          <c:val>
            <c:numRef>
              <c:f>'ET - SGR'!$K$2:$K$153</c:f>
              <c:numCache>
                <c:formatCode>0</c:formatCode>
                <c:ptCount val="152"/>
                <c:pt idx="0">
                  <c:v>89.784000000000006</c:v>
                </c:pt>
                <c:pt idx="1">
                  <c:v>89.550000000000011</c:v>
                </c:pt>
                <c:pt idx="2">
                  <c:v>89.280000000000015</c:v>
                </c:pt>
                <c:pt idx="3">
                  <c:v>89.050500000000014</c:v>
                </c:pt>
                <c:pt idx="4">
                  <c:v>110.69050000000001</c:v>
                </c:pt>
                <c:pt idx="5">
                  <c:v>110.31250000000001</c:v>
                </c:pt>
                <c:pt idx="6">
                  <c:v>110.20450000000001</c:v>
                </c:pt>
                <c:pt idx="7">
                  <c:v>109.96150000000002</c:v>
                </c:pt>
                <c:pt idx="8">
                  <c:v>109.45750000000001</c:v>
                </c:pt>
                <c:pt idx="9">
                  <c:v>108.8135</c:v>
                </c:pt>
                <c:pt idx="10">
                  <c:v>108.2535</c:v>
                </c:pt>
                <c:pt idx="11">
                  <c:v>107.60250000000001</c:v>
                </c:pt>
                <c:pt idx="12">
                  <c:v>107.0985</c:v>
                </c:pt>
                <c:pt idx="13">
                  <c:v>106.46850000000001</c:v>
                </c:pt>
                <c:pt idx="14">
                  <c:v>105.6585</c:v>
                </c:pt>
                <c:pt idx="15">
                  <c:v>105.2085</c:v>
                </c:pt>
                <c:pt idx="16">
                  <c:v>104.4885</c:v>
                </c:pt>
                <c:pt idx="17">
                  <c:v>103.6785</c:v>
                </c:pt>
                <c:pt idx="18">
                  <c:v>120</c:v>
                </c:pt>
                <c:pt idx="19">
                  <c:v>119.06399999999999</c:v>
                </c:pt>
                <c:pt idx="20">
                  <c:v>118.12799999999999</c:v>
                </c:pt>
                <c:pt idx="21">
                  <c:v>117.26399999999998</c:v>
                </c:pt>
                <c:pt idx="22">
                  <c:v>116.51399999999998</c:v>
                </c:pt>
                <c:pt idx="23">
                  <c:v>115.21399999999998</c:v>
                </c:pt>
                <c:pt idx="24">
                  <c:v>113.93899999999998</c:v>
                </c:pt>
                <c:pt idx="25">
                  <c:v>112.68899999999998</c:v>
                </c:pt>
                <c:pt idx="26">
                  <c:v>111.43899999999998</c:v>
                </c:pt>
                <c:pt idx="27">
                  <c:v>110.18899999999998</c:v>
                </c:pt>
                <c:pt idx="28">
                  <c:v>108.93899999999998</c:v>
                </c:pt>
                <c:pt idx="29">
                  <c:v>120</c:v>
                </c:pt>
                <c:pt idx="30">
                  <c:v>118.575</c:v>
                </c:pt>
                <c:pt idx="31">
                  <c:v>115.935</c:v>
                </c:pt>
                <c:pt idx="32">
                  <c:v>114.04300000000001</c:v>
                </c:pt>
                <c:pt idx="33">
                  <c:v>111.491</c:v>
                </c:pt>
                <c:pt idx="34">
                  <c:v>110.655</c:v>
                </c:pt>
                <c:pt idx="35">
                  <c:v>109.819</c:v>
                </c:pt>
                <c:pt idx="36">
                  <c:v>107.70700000000001</c:v>
                </c:pt>
                <c:pt idx="37">
                  <c:v>120</c:v>
                </c:pt>
                <c:pt idx="38">
                  <c:v>118.623</c:v>
                </c:pt>
                <c:pt idx="39">
                  <c:v>116.5575</c:v>
                </c:pt>
                <c:pt idx="40">
                  <c:v>114.46650000000001</c:v>
                </c:pt>
                <c:pt idx="41">
                  <c:v>111.91650000000001</c:v>
                </c:pt>
                <c:pt idx="42">
                  <c:v>109.36650000000002</c:v>
                </c:pt>
                <c:pt idx="43">
                  <c:v>106.76550000000002</c:v>
                </c:pt>
                <c:pt idx="44">
                  <c:v>104.01150000000001</c:v>
                </c:pt>
                <c:pt idx="45">
                  <c:v>102.05950000000001</c:v>
                </c:pt>
                <c:pt idx="46">
                  <c:v>99.499500000000012</c:v>
                </c:pt>
                <c:pt idx="47">
                  <c:v>96.747500000000016</c:v>
                </c:pt>
                <c:pt idx="48">
                  <c:v>96.427500000000023</c:v>
                </c:pt>
                <c:pt idx="49">
                  <c:v>94.283500000000018</c:v>
                </c:pt>
                <c:pt idx="50">
                  <c:v>91.147500000000022</c:v>
                </c:pt>
                <c:pt idx="51">
                  <c:v>120</c:v>
                </c:pt>
                <c:pt idx="52">
                  <c:v>116.07300000000001</c:v>
                </c:pt>
                <c:pt idx="53">
                  <c:v>115.072</c:v>
                </c:pt>
                <c:pt idx="54">
                  <c:v>110.7985</c:v>
                </c:pt>
                <c:pt idx="55">
                  <c:v>107.8725</c:v>
                </c:pt>
                <c:pt idx="56">
                  <c:v>112.86750000000001</c:v>
                </c:pt>
                <c:pt idx="57">
                  <c:v>110.40350000000001</c:v>
                </c:pt>
                <c:pt idx="58">
                  <c:v>110.0185</c:v>
                </c:pt>
                <c:pt idx="59">
                  <c:v>120</c:v>
                </c:pt>
                <c:pt idx="60">
                  <c:v>120</c:v>
                </c:pt>
                <c:pt idx="61">
                  <c:v>116.2655</c:v>
                </c:pt>
                <c:pt idx="62">
                  <c:v>112.0655</c:v>
                </c:pt>
                <c:pt idx="63">
                  <c:v>107.8655</c:v>
                </c:pt>
                <c:pt idx="64">
                  <c:v>116.58149999999999</c:v>
                </c:pt>
                <c:pt idx="65">
                  <c:v>112.12949999999999</c:v>
                </c:pt>
                <c:pt idx="66">
                  <c:v>107.4255</c:v>
                </c:pt>
                <c:pt idx="67">
                  <c:v>102.4695</c:v>
                </c:pt>
                <c:pt idx="68">
                  <c:v>99.025499999999994</c:v>
                </c:pt>
                <c:pt idx="69">
                  <c:v>93.745499999999993</c:v>
                </c:pt>
                <c:pt idx="70">
                  <c:v>89.905499999999989</c:v>
                </c:pt>
                <c:pt idx="71">
                  <c:v>86.54549999999999</c:v>
                </c:pt>
                <c:pt idx="72">
                  <c:v>82.225499999999982</c:v>
                </c:pt>
                <c:pt idx="73">
                  <c:v>77.233499999999978</c:v>
                </c:pt>
                <c:pt idx="74">
                  <c:v>76.465499999999977</c:v>
                </c:pt>
                <c:pt idx="75">
                  <c:v>75.513499999999979</c:v>
                </c:pt>
                <c:pt idx="76">
                  <c:v>69.465499999999977</c:v>
                </c:pt>
                <c:pt idx="77">
                  <c:v>84.089499999999973</c:v>
                </c:pt>
                <c:pt idx="78">
                  <c:v>79.289499999999975</c:v>
                </c:pt>
                <c:pt idx="79">
                  <c:v>77.369499999999974</c:v>
                </c:pt>
                <c:pt idx="80">
                  <c:v>73.481499999999969</c:v>
                </c:pt>
                <c:pt idx="81">
                  <c:v>87.52949999999997</c:v>
                </c:pt>
                <c:pt idx="82">
                  <c:v>84.601499999999973</c:v>
                </c:pt>
                <c:pt idx="83">
                  <c:v>77.601499999999973</c:v>
                </c:pt>
                <c:pt idx="84">
                  <c:v>90.40149999999997</c:v>
                </c:pt>
                <c:pt idx="85">
                  <c:v>85.601499999999973</c:v>
                </c:pt>
                <c:pt idx="86">
                  <c:v>81.601499999999973</c:v>
                </c:pt>
                <c:pt idx="87">
                  <c:v>95.601499999999973</c:v>
                </c:pt>
                <c:pt idx="88">
                  <c:v>88.701499999999967</c:v>
                </c:pt>
                <c:pt idx="89">
                  <c:v>81.701499999999967</c:v>
                </c:pt>
                <c:pt idx="90">
                  <c:v>74.501499999999965</c:v>
                </c:pt>
                <c:pt idx="91">
                  <c:v>72.551499999999962</c:v>
                </c:pt>
                <c:pt idx="92">
                  <c:v>68.811499999999967</c:v>
                </c:pt>
                <c:pt idx="93">
                  <c:v>65.621499999999969</c:v>
                </c:pt>
                <c:pt idx="94">
                  <c:v>59.021499999999968</c:v>
                </c:pt>
                <c:pt idx="95">
                  <c:v>81.42149999999998</c:v>
                </c:pt>
                <c:pt idx="96">
                  <c:v>94.381499999999974</c:v>
                </c:pt>
                <c:pt idx="97">
                  <c:v>87.176499999999976</c:v>
                </c:pt>
                <c:pt idx="98">
                  <c:v>80.576499999999982</c:v>
                </c:pt>
                <c:pt idx="99">
                  <c:v>74.306499999999986</c:v>
                </c:pt>
                <c:pt idx="100">
                  <c:v>68.146499999999989</c:v>
                </c:pt>
                <c:pt idx="101">
                  <c:v>60.501499999999986</c:v>
                </c:pt>
                <c:pt idx="102">
                  <c:v>52.746499999999983</c:v>
                </c:pt>
                <c:pt idx="103">
                  <c:v>45.15649999999998</c:v>
                </c:pt>
                <c:pt idx="104">
                  <c:v>40.866499999999981</c:v>
                </c:pt>
                <c:pt idx="105">
                  <c:v>54.486499999999978</c:v>
                </c:pt>
                <c:pt idx="106">
                  <c:v>47.886499999999977</c:v>
                </c:pt>
                <c:pt idx="107">
                  <c:v>41.08649999999998</c:v>
                </c:pt>
                <c:pt idx="108">
                  <c:v>33.886499999999977</c:v>
                </c:pt>
                <c:pt idx="109">
                  <c:v>26.836499999999976</c:v>
                </c:pt>
                <c:pt idx="110">
                  <c:v>19.736499999999978</c:v>
                </c:pt>
                <c:pt idx="111">
                  <c:v>31.876499999999979</c:v>
                </c:pt>
                <c:pt idx="112">
                  <c:v>31.876499999999979</c:v>
                </c:pt>
                <c:pt idx="113">
                  <c:v>51.876499999999979</c:v>
                </c:pt>
                <c:pt idx="114">
                  <c:v>50.926499999999976</c:v>
                </c:pt>
                <c:pt idx="115">
                  <c:v>48.741499999999974</c:v>
                </c:pt>
                <c:pt idx="116">
                  <c:v>42.661499999999975</c:v>
                </c:pt>
                <c:pt idx="117">
                  <c:v>36.201499999999974</c:v>
                </c:pt>
                <c:pt idx="118">
                  <c:v>30.501499999999975</c:v>
                </c:pt>
                <c:pt idx="119">
                  <c:v>24.801499999999976</c:v>
                </c:pt>
                <c:pt idx="120">
                  <c:v>34.806499999999978</c:v>
                </c:pt>
                <c:pt idx="121">
                  <c:v>28.764499999999977</c:v>
                </c:pt>
                <c:pt idx="122">
                  <c:v>22.997999999999976</c:v>
                </c:pt>
                <c:pt idx="123">
                  <c:v>16.385999999999974</c:v>
                </c:pt>
                <c:pt idx="124">
                  <c:v>10.017599999999973</c:v>
                </c:pt>
                <c:pt idx="125">
                  <c:v>24.797599999999974</c:v>
                </c:pt>
                <c:pt idx="126">
                  <c:v>19.316599999999973</c:v>
                </c:pt>
                <c:pt idx="127">
                  <c:v>13.574599999999972</c:v>
                </c:pt>
                <c:pt idx="128">
                  <c:v>7.7890999999999719</c:v>
                </c:pt>
                <c:pt idx="129">
                  <c:v>2.3080999999999721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5F5-43F7-BCF6-2062402A663E}"/>
            </c:ext>
          </c:extLst>
        </c:ser>
        <c:ser>
          <c:idx val="1"/>
          <c:order val="2"/>
          <c:tx>
            <c:strRef>
              <c:f>'ET - SGR'!$M$1</c:f>
              <c:strCache>
                <c:ptCount val="1"/>
                <c:pt idx="0">
                  <c:v>Umbral</c:v>
                </c:pt>
              </c:strCache>
            </c:strRef>
          </c:tx>
          <c:spPr>
            <a:ln w="31750"/>
          </c:spPr>
          <c:marker>
            <c:symbol val="none"/>
          </c:marker>
          <c:cat>
            <c:numRef>
              <c:f>'ET - SGR'!$A$2:$A$153</c:f>
              <c:numCache>
                <c:formatCode>d\-mmm</c:formatCode>
                <c:ptCount val="152"/>
                <c:pt idx="0">
                  <c:v>45917</c:v>
                </c:pt>
                <c:pt idx="1">
                  <c:v>45918</c:v>
                </c:pt>
                <c:pt idx="2">
                  <c:v>45919</c:v>
                </c:pt>
                <c:pt idx="3">
                  <c:v>45920</c:v>
                </c:pt>
                <c:pt idx="4">
                  <c:v>45921</c:v>
                </c:pt>
                <c:pt idx="5">
                  <c:v>45922</c:v>
                </c:pt>
                <c:pt idx="6">
                  <c:v>45923</c:v>
                </c:pt>
                <c:pt idx="7">
                  <c:v>45924</c:v>
                </c:pt>
                <c:pt idx="8">
                  <c:v>45925</c:v>
                </c:pt>
                <c:pt idx="9">
                  <c:v>45926</c:v>
                </c:pt>
                <c:pt idx="10">
                  <c:v>45927</c:v>
                </c:pt>
                <c:pt idx="11">
                  <c:v>45928</c:v>
                </c:pt>
                <c:pt idx="12">
                  <c:v>45929</c:v>
                </c:pt>
                <c:pt idx="13">
                  <c:v>45930</c:v>
                </c:pt>
                <c:pt idx="14">
                  <c:v>45931</c:v>
                </c:pt>
                <c:pt idx="15">
                  <c:v>45932</c:v>
                </c:pt>
                <c:pt idx="16">
                  <c:v>45933</c:v>
                </c:pt>
                <c:pt idx="17">
                  <c:v>45934</c:v>
                </c:pt>
                <c:pt idx="18">
                  <c:v>45935</c:v>
                </c:pt>
                <c:pt idx="19">
                  <c:v>45936</c:v>
                </c:pt>
                <c:pt idx="20">
                  <c:v>45937</c:v>
                </c:pt>
                <c:pt idx="21">
                  <c:v>45938</c:v>
                </c:pt>
                <c:pt idx="22">
                  <c:v>45939</c:v>
                </c:pt>
                <c:pt idx="23">
                  <c:v>45940</c:v>
                </c:pt>
                <c:pt idx="24">
                  <c:v>45941</c:v>
                </c:pt>
                <c:pt idx="25">
                  <c:v>45942</c:v>
                </c:pt>
                <c:pt idx="26">
                  <c:v>45943</c:v>
                </c:pt>
                <c:pt idx="27">
                  <c:v>45944</c:v>
                </c:pt>
                <c:pt idx="28">
                  <c:v>45945</c:v>
                </c:pt>
                <c:pt idx="29">
                  <c:v>45946</c:v>
                </c:pt>
                <c:pt idx="30">
                  <c:v>45947</c:v>
                </c:pt>
                <c:pt idx="31">
                  <c:v>45948</c:v>
                </c:pt>
                <c:pt idx="32">
                  <c:v>45949</c:v>
                </c:pt>
                <c:pt idx="33">
                  <c:v>45950</c:v>
                </c:pt>
                <c:pt idx="34">
                  <c:v>45951</c:v>
                </c:pt>
                <c:pt idx="35">
                  <c:v>45952</c:v>
                </c:pt>
                <c:pt idx="36">
                  <c:v>45953</c:v>
                </c:pt>
                <c:pt idx="37">
                  <c:v>45954</c:v>
                </c:pt>
                <c:pt idx="38">
                  <c:v>45955</c:v>
                </c:pt>
                <c:pt idx="39">
                  <c:v>45956</c:v>
                </c:pt>
                <c:pt idx="40">
                  <c:v>45957</c:v>
                </c:pt>
                <c:pt idx="41">
                  <c:v>45958</c:v>
                </c:pt>
                <c:pt idx="42">
                  <c:v>45959</c:v>
                </c:pt>
                <c:pt idx="43">
                  <c:v>45960</c:v>
                </c:pt>
                <c:pt idx="44">
                  <c:v>45961</c:v>
                </c:pt>
                <c:pt idx="45">
                  <c:v>45962</c:v>
                </c:pt>
                <c:pt idx="46">
                  <c:v>45963</c:v>
                </c:pt>
                <c:pt idx="47">
                  <c:v>45964</c:v>
                </c:pt>
                <c:pt idx="48">
                  <c:v>45965</c:v>
                </c:pt>
                <c:pt idx="49">
                  <c:v>45966</c:v>
                </c:pt>
                <c:pt idx="50">
                  <c:v>45967</c:v>
                </c:pt>
                <c:pt idx="51">
                  <c:v>45968</c:v>
                </c:pt>
                <c:pt idx="52">
                  <c:v>45969</c:v>
                </c:pt>
                <c:pt idx="53">
                  <c:v>45970</c:v>
                </c:pt>
                <c:pt idx="54">
                  <c:v>45971</c:v>
                </c:pt>
                <c:pt idx="55">
                  <c:v>45972</c:v>
                </c:pt>
                <c:pt idx="56">
                  <c:v>45973</c:v>
                </c:pt>
                <c:pt idx="57">
                  <c:v>45974</c:v>
                </c:pt>
                <c:pt idx="58">
                  <c:v>45975</c:v>
                </c:pt>
                <c:pt idx="59">
                  <c:v>45976</c:v>
                </c:pt>
                <c:pt idx="60">
                  <c:v>45977</c:v>
                </c:pt>
                <c:pt idx="61">
                  <c:v>45978</c:v>
                </c:pt>
                <c:pt idx="62">
                  <c:v>45979</c:v>
                </c:pt>
                <c:pt idx="63">
                  <c:v>45980</c:v>
                </c:pt>
                <c:pt idx="64">
                  <c:v>45981</c:v>
                </c:pt>
                <c:pt idx="65">
                  <c:v>45982</c:v>
                </c:pt>
                <c:pt idx="66">
                  <c:v>45983</c:v>
                </c:pt>
                <c:pt idx="67">
                  <c:v>45984</c:v>
                </c:pt>
                <c:pt idx="68">
                  <c:v>45985</c:v>
                </c:pt>
                <c:pt idx="69">
                  <c:v>45986</c:v>
                </c:pt>
                <c:pt idx="70">
                  <c:v>45987</c:v>
                </c:pt>
                <c:pt idx="71">
                  <c:v>45988</c:v>
                </c:pt>
                <c:pt idx="72">
                  <c:v>45989</c:v>
                </c:pt>
                <c:pt idx="73">
                  <c:v>45990</c:v>
                </c:pt>
                <c:pt idx="74">
                  <c:v>45991</c:v>
                </c:pt>
                <c:pt idx="75">
                  <c:v>45992</c:v>
                </c:pt>
                <c:pt idx="76">
                  <c:v>45993</c:v>
                </c:pt>
                <c:pt idx="77">
                  <c:v>45994</c:v>
                </c:pt>
                <c:pt idx="78">
                  <c:v>45995</c:v>
                </c:pt>
                <c:pt idx="79">
                  <c:v>45996</c:v>
                </c:pt>
                <c:pt idx="80">
                  <c:v>45997</c:v>
                </c:pt>
                <c:pt idx="81">
                  <c:v>45998</c:v>
                </c:pt>
                <c:pt idx="82">
                  <c:v>45999</c:v>
                </c:pt>
                <c:pt idx="83">
                  <c:v>46000</c:v>
                </c:pt>
                <c:pt idx="84">
                  <c:v>46001</c:v>
                </c:pt>
                <c:pt idx="85">
                  <c:v>46002</c:v>
                </c:pt>
                <c:pt idx="86">
                  <c:v>46003</c:v>
                </c:pt>
                <c:pt idx="87">
                  <c:v>46004</c:v>
                </c:pt>
                <c:pt idx="88">
                  <c:v>46005</c:v>
                </c:pt>
                <c:pt idx="89">
                  <c:v>46006</c:v>
                </c:pt>
                <c:pt idx="90">
                  <c:v>46007</c:v>
                </c:pt>
                <c:pt idx="91">
                  <c:v>46008</c:v>
                </c:pt>
                <c:pt idx="92">
                  <c:v>46009</c:v>
                </c:pt>
                <c:pt idx="93">
                  <c:v>46010</c:v>
                </c:pt>
                <c:pt idx="94">
                  <c:v>46011</c:v>
                </c:pt>
                <c:pt idx="95">
                  <c:v>46012</c:v>
                </c:pt>
                <c:pt idx="96">
                  <c:v>46013</c:v>
                </c:pt>
                <c:pt idx="97">
                  <c:v>46014</c:v>
                </c:pt>
                <c:pt idx="98">
                  <c:v>46015</c:v>
                </c:pt>
                <c:pt idx="99">
                  <c:v>46016</c:v>
                </c:pt>
                <c:pt idx="100">
                  <c:v>46017</c:v>
                </c:pt>
                <c:pt idx="101">
                  <c:v>46018</c:v>
                </c:pt>
                <c:pt idx="102">
                  <c:v>46019</c:v>
                </c:pt>
                <c:pt idx="103">
                  <c:v>46020</c:v>
                </c:pt>
                <c:pt idx="104">
                  <c:v>46021</c:v>
                </c:pt>
                <c:pt idx="105">
                  <c:v>46022</c:v>
                </c:pt>
                <c:pt idx="106">
                  <c:v>46023</c:v>
                </c:pt>
                <c:pt idx="107">
                  <c:v>46024</c:v>
                </c:pt>
                <c:pt idx="108">
                  <c:v>46025</c:v>
                </c:pt>
                <c:pt idx="109">
                  <c:v>46026</c:v>
                </c:pt>
                <c:pt idx="110">
                  <c:v>46027</c:v>
                </c:pt>
                <c:pt idx="111">
                  <c:v>46028</c:v>
                </c:pt>
                <c:pt idx="112">
                  <c:v>46029</c:v>
                </c:pt>
                <c:pt idx="113">
                  <c:v>46030</c:v>
                </c:pt>
                <c:pt idx="114">
                  <c:v>46031</c:v>
                </c:pt>
                <c:pt idx="115">
                  <c:v>46032</c:v>
                </c:pt>
                <c:pt idx="116">
                  <c:v>46033</c:v>
                </c:pt>
                <c:pt idx="117">
                  <c:v>46034</c:v>
                </c:pt>
                <c:pt idx="118">
                  <c:v>46035</c:v>
                </c:pt>
                <c:pt idx="119">
                  <c:v>46036</c:v>
                </c:pt>
                <c:pt idx="120">
                  <c:v>46037</c:v>
                </c:pt>
                <c:pt idx="121">
                  <c:v>46038</c:v>
                </c:pt>
                <c:pt idx="122">
                  <c:v>46039</c:v>
                </c:pt>
                <c:pt idx="123">
                  <c:v>46040</c:v>
                </c:pt>
                <c:pt idx="124">
                  <c:v>46041</c:v>
                </c:pt>
                <c:pt idx="125">
                  <c:v>46042</c:v>
                </c:pt>
                <c:pt idx="126">
                  <c:v>46043</c:v>
                </c:pt>
                <c:pt idx="127">
                  <c:v>46044</c:v>
                </c:pt>
                <c:pt idx="128">
                  <c:v>46045</c:v>
                </c:pt>
                <c:pt idx="129">
                  <c:v>46046</c:v>
                </c:pt>
                <c:pt idx="130">
                  <c:v>46047</c:v>
                </c:pt>
                <c:pt idx="131">
                  <c:v>46048</c:v>
                </c:pt>
                <c:pt idx="132">
                  <c:v>46049</c:v>
                </c:pt>
                <c:pt idx="133">
                  <c:v>46050</c:v>
                </c:pt>
                <c:pt idx="134">
                  <c:v>46051</c:v>
                </c:pt>
                <c:pt idx="135">
                  <c:v>46052</c:v>
                </c:pt>
                <c:pt idx="136">
                  <c:v>46053</c:v>
                </c:pt>
                <c:pt idx="137">
                  <c:v>46054</c:v>
                </c:pt>
                <c:pt idx="138">
                  <c:v>46055</c:v>
                </c:pt>
                <c:pt idx="139">
                  <c:v>46056</c:v>
                </c:pt>
                <c:pt idx="140">
                  <c:v>46057</c:v>
                </c:pt>
                <c:pt idx="141">
                  <c:v>46058</c:v>
                </c:pt>
                <c:pt idx="142">
                  <c:v>46059</c:v>
                </c:pt>
                <c:pt idx="143">
                  <c:v>46060</c:v>
                </c:pt>
                <c:pt idx="144">
                  <c:v>46061</c:v>
                </c:pt>
                <c:pt idx="145">
                  <c:v>46062</c:v>
                </c:pt>
                <c:pt idx="146">
                  <c:v>46063</c:v>
                </c:pt>
                <c:pt idx="147">
                  <c:v>46064</c:v>
                </c:pt>
                <c:pt idx="148">
                  <c:v>46065</c:v>
                </c:pt>
                <c:pt idx="149">
                  <c:v>46066</c:v>
                </c:pt>
                <c:pt idx="150">
                  <c:v>46067</c:v>
                </c:pt>
                <c:pt idx="151">
                  <c:v>46068</c:v>
                </c:pt>
              </c:numCache>
            </c:numRef>
          </c:cat>
          <c:val>
            <c:numRef>
              <c:f>'ET - SGR'!$M$2:$M$153</c:f>
              <c:numCache>
                <c:formatCode>General</c:formatCode>
                <c:ptCount val="152"/>
                <c:pt idx="0">
                  <c:v>60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  <c:pt idx="6">
                  <c:v>60</c:v>
                </c:pt>
                <c:pt idx="7">
                  <c:v>60</c:v>
                </c:pt>
                <c:pt idx="8">
                  <c:v>60</c:v>
                </c:pt>
                <c:pt idx="9">
                  <c:v>60</c:v>
                </c:pt>
                <c:pt idx="10">
                  <c:v>60</c:v>
                </c:pt>
                <c:pt idx="11">
                  <c:v>60</c:v>
                </c:pt>
                <c:pt idx="12">
                  <c:v>60</c:v>
                </c:pt>
                <c:pt idx="13">
                  <c:v>60</c:v>
                </c:pt>
                <c:pt idx="14">
                  <c:v>60</c:v>
                </c:pt>
                <c:pt idx="15">
                  <c:v>60</c:v>
                </c:pt>
                <c:pt idx="16">
                  <c:v>60</c:v>
                </c:pt>
                <c:pt idx="17">
                  <c:v>60</c:v>
                </c:pt>
                <c:pt idx="18">
                  <c:v>60</c:v>
                </c:pt>
                <c:pt idx="19">
                  <c:v>60</c:v>
                </c:pt>
                <c:pt idx="20">
                  <c:v>60</c:v>
                </c:pt>
                <c:pt idx="21">
                  <c:v>60</c:v>
                </c:pt>
                <c:pt idx="22">
                  <c:v>60</c:v>
                </c:pt>
                <c:pt idx="23">
                  <c:v>60</c:v>
                </c:pt>
                <c:pt idx="24">
                  <c:v>60</c:v>
                </c:pt>
                <c:pt idx="25">
                  <c:v>60</c:v>
                </c:pt>
                <c:pt idx="26">
                  <c:v>60</c:v>
                </c:pt>
                <c:pt idx="27">
                  <c:v>60</c:v>
                </c:pt>
                <c:pt idx="28">
                  <c:v>60</c:v>
                </c:pt>
                <c:pt idx="29">
                  <c:v>60</c:v>
                </c:pt>
                <c:pt idx="30">
                  <c:v>60</c:v>
                </c:pt>
                <c:pt idx="31">
                  <c:v>60</c:v>
                </c:pt>
                <c:pt idx="32">
                  <c:v>60</c:v>
                </c:pt>
                <c:pt idx="33">
                  <c:v>60</c:v>
                </c:pt>
                <c:pt idx="34">
                  <c:v>60</c:v>
                </c:pt>
                <c:pt idx="35">
                  <c:v>60</c:v>
                </c:pt>
                <c:pt idx="36">
                  <c:v>60</c:v>
                </c:pt>
                <c:pt idx="37">
                  <c:v>60</c:v>
                </c:pt>
                <c:pt idx="38">
                  <c:v>60</c:v>
                </c:pt>
                <c:pt idx="39">
                  <c:v>60</c:v>
                </c:pt>
                <c:pt idx="40">
                  <c:v>60</c:v>
                </c:pt>
                <c:pt idx="41">
                  <c:v>60</c:v>
                </c:pt>
                <c:pt idx="42">
                  <c:v>60</c:v>
                </c:pt>
                <c:pt idx="43">
                  <c:v>60</c:v>
                </c:pt>
                <c:pt idx="44">
                  <c:v>60</c:v>
                </c:pt>
                <c:pt idx="45">
                  <c:v>60</c:v>
                </c:pt>
                <c:pt idx="46">
                  <c:v>60</c:v>
                </c:pt>
                <c:pt idx="47">
                  <c:v>60</c:v>
                </c:pt>
                <c:pt idx="48">
                  <c:v>60</c:v>
                </c:pt>
                <c:pt idx="49">
                  <c:v>60</c:v>
                </c:pt>
                <c:pt idx="50">
                  <c:v>60</c:v>
                </c:pt>
                <c:pt idx="51">
                  <c:v>60</c:v>
                </c:pt>
                <c:pt idx="52">
                  <c:v>60</c:v>
                </c:pt>
                <c:pt idx="53">
                  <c:v>60</c:v>
                </c:pt>
                <c:pt idx="54">
                  <c:v>60</c:v>
                </c:pt>
                <c:pt idx="55">
                  <c:v>60</c:v>
                </c:pt>
                <c:pt idx="56">
                  <c:v>60</c:v>
                </c:pt>
                <c:pt idx="57">
                  <c:v>60</c:v>
                </c:pt>
                <c:pt idx="58">
                  <c:v>60</c:v>
                </c:pt>
                <c:pt idx="59">
                  <c:v>60</c:v>
                </c:pt>
                <c:pt idx="60">
                  <c:v>60</c:v>
                </c:pt>
                <c:pt idx="61">
                  <c:v>60</c:v>
                </c:pt>
                <c:pt idx="62">
                  <c:v>60</c:v>
                </c:pt>
                <c:pt idx="63">
                  <c:v>60</c:v>
                </c:pt>
                <c:pt idx="64">
                  <c:v>60</c:v>
                </c:pt>
                <c:pt idx="65">
                  <c:v>60</c:v>
                </c:pt>
                <c:pt idx="66">
                  <c:v>60</c:v>
                </c:pt>
                <c:pt idx="67">
                  <c:v>60</c:v>
                </c:pt>
                <c:pt idx="68">
                  <c:v>60</c:v>
                </c:pt>
                <c:pt idx="69">
                  <c:v>60</c:v>
                </c:pt>
                <c:pt idx="70">
                  <c:v>60</c:v>
                </c:pt>
                <c:pt idx="71">
                  <c:v>60</c:v>
                </c:pt>
                <c:pt idx="72">
                  <c:v>60</c:v>
                </c:pt>
                <c:pt idx="73">
                  <c:v>60</c:v>
                </c:pt>
                <c:pt idx="74">
                  <c:v>60</c:v>
                </c:pt>
                <c:pt idx="75">
                  <c:v>60</c:v>
                </c:pt>
                <c:pt idx="76">
                  <c:v>60</c:v>
                </c:pt>
                <c:pt idx="77">
                  <c:v>60</c:v>
                </c:pt>
                <c:pt idx="78">
                  <c:v>60</c:v>
                </c:pt>
                <c:pt idx="79">
                  <c:v>60</c:v>
                </c:pt>
                <c:pt idx="80">
                  <c:v>72</c:v>
                </c:pt>
                <c:pt idx="81">
                  <c:v>72</c:v>
                </c:pt>
                <c:pt idx="82">
                  <c:v>72</c:v>
                </c:pt>
                <c:pt idx="83">
                  <c:v>72</c:v>
                </c:pt>
                <c:pt idx="84">
                  <c:v>72</c:v>
                </c:pt>
                <c:pt idx="85">
                  <c:v>72</c:v>
                </c:pt>
                <c:pt idx="86">
                  <c:v>72</c:v>
                </c:pt>
                <c:pt idx="87">
                  <c:v>72</c:v>
                </c:pt>
                <c:pt idx="88">
                  <c:v>72</c:v>
                </c:pt>
                <c:pt idx="89">
                  <c:v>72</c:v>
                </c:pt>
                <c:pt idx="90">
                  <c:v>72</c:v>
                </c:pt>
                <c:pt idx="91">
                  <c:v>72</c:v>
                </c:pt>
                <c:pt idx="92">
                  <c:v>72</c:v>
                </c:pt>
                <c:pt idx="93">
                  <c:v>72</c:v>
                </c:pt>
                <c:pt idx="94">
                  <c:v>72</c:v>
                </c:pt>
                <c:pt idx="95">
                  <c:v>72</c:v>
                </c:pt>
                <c:pt idx="96">
                  <c:v>72</c:v>
                </c:pt>
                <c:pt idx="97">
                  <c:v>72</c:v>
                </c:pt>
                <c:pt idx="98">
                  <c:v>72</c:v>
                </c:pt>
                <c:pt idx="99">
                  <c:v>72</c:v>
                </c:pt>
                <c:pt idx="100">
                  <c:v>72</c:v>
                </c:pt>
                <c:pt idx="101">
                  <c:v>72</c:v>
                </c:pt>
                <c:pt idx="102">
                  <c:v>72</c:v>
                </c:pt>
                <c:pt idx="103">
                  <c:v>72</c:v>
                </c:pt>
                <c:pt idx="104">
                  <c:v>72</c:v>
                </c:pt>
                <c:pt idx="105">
                  <c:v>72</c:v>
                </c:pt>
                <c:pt idx="106">
                  <c:v>72</c:v>
                </c:pt>
                <c:pt idx="107">
                  <c:v>72</c:v>
                </c:pt>
                <c:pt idx="108">
                  <c:v>72</c:v>
                </c:pt>
                <c:pt idx="109">
                  <c:v>72</c:v>
                </c:pt>
                <c:pt idx="110">
                  <c:v>72</c:v>
                </c:pt>
                <c:pt idx="111">
                  <c:v>72</c:v>
                </c:pt>
                <c:pt idx="112">
                  <c:v>72</c:v>
                </c:pt>
                <c:pt idx="113">
                  <c:v>72</c:v>
                </c:pt>
                <c:pt idx="114">
                  <c:v>72</c:v>
                </c:pt>
                <c:pt idx="115">
                  <c:v>72</c:v>
                </c:pt>
                <c:pt idx="116">
                  <c:v>72</c:v>
                </c:pt>
                <c:pt idx="117">
                  <c:v>72</c:v>
                </c:pt>
                <c:pt idx="118">
                  <c:v>72</c:v>
                </c:pt>
                <c:pt idx="119">
                  <c:v>72</c:v>
                </c:pt>
                <c:pt idx="120">
                  <c:v>72</c:v>
                </c:pt>
                <c:pt idx="121">
                  <c:v>72</c:v>
                </c:pt>
                <c:pt idx="122">
                  <c:v>72</c:v>
                </c:pt>
                <c:pt idx="123">
                  <c:v>72</c:v>
                </c:pt>
                <c:pt idx="124">
                  <c:v>72</c:v>
                </c:pt>
                <c:pt idx="125">
                  <c:v>72</c:v>
                </c:pt>
                <c:pt idx="126">
                  <c:v>60</c:v>
                </c:pt>
                <c:pt idx="127">
                  <c:v>60</c:v>
                </c:pt>
                <c:pt idx="128">
                  <c:v>60</c:v>
                </c:pt>
                <c:pt idx="129">
                  <c:v>60</c:v>
                </c:pt>
                <c:pt idx="130">
                  <c:v>60</c:v>
                </c:pt>
                <c:pt idx="131">
                  <c:v>60</c:v>
                </c:pt>
                <c:pt idx="132">
                  <c:v>60</c:v>
                </c:pt>
                <c:pt idx="133">
                  <c:v>60</c:v>
                </c:pt>
                <c:pt idx="134">
                  <c:v>60</c:v>
                </c:pt>
                <c:pt idx="135">
                  <c:v>60</c:v>
                </c:pt>
                <c:pt idx="136">
                  <c:v>60</c:v>
                </c:pt>
                <c:pt idx="137">
                  <c:v>60</c:v>
                </c:pt>
                <c:pt idx="138">
                  <c:v>60</c:v>
                </c:pt>
                <c:pt idx="139">
                  <c:v>60</c:v>
                </c:pt>
                <c:pt idx="140">
                  <c:v>60</c:v>
                </c:pt>
                <c:pt idx="141">
                  <c:v>60</c:v>
                </c:pt>
                <c:pt idx="142">
                  <c:v>60</c:v>
                </c:pt>
                <c:pt idx="143">
                  <c:v>60</c:v>
                </c:pt>
                <c:pt idx="144">
                  <c:v>60</c:v>
                </c:pt>
                <c:pt idx="145">
                  <c:v>60</c:v>
                </c:pt>
                <c:pt idx="146">
                  <c:v>60</c:v>
                </c:pt>
                <c:pt idx="147">
                  <c:v>60</c:v>
                </c:pt>
                <c:pt idx="148">
                  <c:v>60</c:v>
                </c:pt>
                <c:pt idx="149">
                  <c:v>60</c:v>
                </c:pt>
                <c:pt idx="150">
                  <c:v>60</c:v>
                </c:pt>
                <c:pt idx="151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5F5-43F7-BCF6-2062402A66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129472"/>
        <c:axId val="72096512"/>
      </c:lineChart>
      <c:scatterChart>
        <c:scatterStyle val="lineMarker"/>
        <c:varyColors val="0"/>
        <c:ser>
          <c:idx val="2"/>
          <c:order val="3"/>
          <c:tx>
            <c:v>Riegos</c:v>
          </c:tx>
          <c:spPr>
            <a:ln w="19050">
              <a:noFill/>
            </a:ln>
          </c:spPr>
          <c:marker>
            <c:symbol val="circle"/>
            <c:size val="7"/>
            <c:spPr>
              <a:ln w="12700"/>
            </c:spPr>
          </c:marker>
          <c:xVal>
            <c:numRef>
              <c:f>'ET - SGR'!$A$2:$A$127</c:f>
              <c:numCache>
                <c:formatCode>d\-mmm</c:formatCode>
                <c:ptCount val="126"/>
                <c:pt idx="0">
                  <c:v>45917</c:v>
                </c:pt>
                <c:pt idx="1">
                  <c:v>45918</c:v>
                </c:pt>
                <c:pt idx="2">
                  <c:v>45919</c:v>
                </c:pt>
                <c:pt idx="3">
                  <c:v>45920</c:v>
                </c:pt>
                <c:pt idx="4">
                  <c:v>45921</c:v>
                </c:pt>
                <c:pt idx="5">
                  <c:v>45922</c:v>
                </c:pt>
                <c:pt idx="6">
                  <c:v>45923</c:v>
                </c:pt>
                <c:pt idx="7">
                  <c:v>45924</c:v>
                </c:pt>
                <c:pt idx="8">
                  <c:v>45925</c:v>
                </c:pt>
                <c:pt idx="9">
                  <c:v>45926</c:v>
                </c:pt>
                <c:pt idx="10">
                  <c:v>45927</c:v>
                </c:pt>
                <c:pt idx="11">
                  <c:v>45928</c:v>
                </c:pt>
                <c:pt idx="12">
                  <c:v>45929</c:v>
                </c:pt>
                <c:pt idx="13">
                  <c:v>45930</c:v>
                </c:pt>
                <c:pt idx="14">
                  <c:v>45931</c:v>
                </c:pt>
                <c:pt idx="15">
                  <c:v>45932</c:v>
                </c:pt>
                <c:pt idx="16">
                  <c:v>45933</c:v>
                </c:pt>
                <c:pt idx="17">
                  <c:v>45934</c:v>
                </c:pt>
                <c:pt idx="18">
                  <c:v>45935</c:v>
                </c:pt>
                <c:pt idx="19">
                  <c:v>45936</c:v>
                </c:pt>
                <c:pt idx="20">
                  <c:v>45937</c:v>
                </c:pt>
                <c:pt idx="21">
                  <c:v>45938</c:v>
                </c:pt>
                <c:pt idx="22">
                  <c:v>45939</c:v>
                </c:pt>
                <c:pt idx="23">
                  <c:v>45940</c:v>
                </c:pt>
                <c:pt idx="24">
                  <c:v>45941</c:v>
                </c:pt>
                <c:pt idx="25">
                  <c:v>45942</c:v>
                </c:pt>
                <c:pt idx="26">
                  <c:v>45943</c:v>
                </c:pt>
                <c:pt idx="27">
                  <c:v>45944</c:v>
                </c:pt>
                <c:pt idx="28">
                  <c:v>45945</c:v>
                </c:pt>
                <c:pt idx="29">
                  <c:v>45946</c:v>
                </c:pt>
                <c:pt idx="30">
                  <c:v>45947</c:v>
                </c:pt>
                <c:pt idx="31">
                  <c:v>45948</c:v>
                </c:pt>
                <c:pt idx="32">
                  <c:v>45949</c:v>
                </c:pt>
                <c:pt idx="33">
                  <c:v>45950</c:v>
                </c:pt>
                <c:pt idx="34">
                  <c:v>45951</c:v>
                </c:pt>
                <c:pt idx="35">
                  <c:v>45952</c:v>
                </c:pt>
                <c:pt idx="36">
                  <c:v>45953</c:v>
                </c:pt>
                <c:pt idx="37">
                  <c:v>45954</c:v>
                </c:pt>
                <c:pt idx="38">
                  <c:v>45955</c:v>
                </c:pt>
                <c:pt idx="39">
                  <c:v>45956</c:v>
                </c:pt>
                <c:pt idx="40">
                  <c:v>45957</c:v>
                </c:pt>
                <c:pt idx="41">
                  <c:v>45958</c:v>
                </c:pt>
                <c:pt idx="42">
                  <c:v>45959</c:v>
                </c:pt>
                <c:pt idx="43">
                  <c:v>45960</c:v>
                </c:pt>
                <c:pt idx="44">
                  <c:v>45961</c:v>
                </c:pt>
                <c:pt idx="45">
                  <c:v>45962</c:v>
                </c:pt>
                <c:pt idx="46">
                  <c:v>45963</c:v>
                </c:pt>
                <c:pt idx="47">
                  <c:v>45964</c:v>
                </c:pt>
                <c:pt idx="48">
                  <c:v>45965</c:v>
                </c:pt>
                <c:pt idx="49">
                  <c:v>45966</c:v>
                </c:pt>
                <c:pt idx="50">
                  <c:v>45967</c:v>
                </c:pt>
                <c:pt idx="51">
                  <c:v>45968</c:v>
                </c:pt>
                <c:pt idx="52">
                  <c:v>45969</c:v>
                </c:pt>
                <c:pt idx="53">
                  <c:v>45970</c:v>
                </c:pt>
                <c:pt idx="54">
                  <c:v>45971</c:v>
                </c:pt>
                <c:pt idx="55">
                  <c:v>45972</c:v>
                </c:pt>
                <c:pt idx="56">
                  <c:v>45973</c:v>
                </c:pt>
                <c:pt idx="57">
                  <c:v>45974</c:v>
                </c:pt>
                <c:pt idx="58">
                  <c:v>45975</c:v>
                </c:pt>
                <c:pt idx="59">
                  <c:v>45976</c:v>
                </c:pt>
                <c:pt idx="60">
                  <c:v>45977</c:v>
                </c:pt>
                <c:pt idx="61">
                  <c:v>45978</c:v>
                </c:pt>
                <c:pt idx="62">
                  <c:v>45979</c:v>
                </c:pt>
                <c:pt idx="63">
                  <c:v>45980</c:v>
                </c:pt>
                <c:pt idx="64">
                  <c:v>45981</c:v>
                </c:pt>
                <c:pt idx="65">
                  <c:v>45982</c:v>
                </c:pt>
                <c:pt idx="66">
                  <c:v>45983</c:v>
                </c:pt>
                <c:pt idx="67">
                  <c:v>45984</c:v>
                </c:pt>
                <c:pt idx="68">
                  <c:v>45985</c:v>
                </c:pt>
                <c:pt idx="69">
                  <c:v>45986</c:v>
                </c:pt>
                <c:pt idx="70">
                  <c:v>45987</c:v>
                </c:pt>
                <c:pt idx="71">
                  <c:v>45988</c:v>
                </c:pt>
                <c:pt idx="72">
                  <c:v>45989</c:v>
                </c:pt>
                <c:pt idx="73">
                  <c:v>45990</c:v>
                </c:pt>
                <c:pt idx="74">
                  <c:v>45991</c:v>
                </c:pt>
                <c:pt idx="75">
                  <c:v>45992</c:v>
                </c:pt>
                <c:pt idx="76">
                  <c:v>45993</c:v>
                </c:pt>
                <c:pt idx="77">
                  <c:v>45994</c:v>
                </c:pt>
                <c:pt idx="78">
                  <c:v>45995</c:v>
                </c:pt>
                <c:pt idx="79">
                  <c:v>45996</c:v>
                </c:pt>
                <c:pt idx="80">
                  <c:v>45997</c:v>
                </c:pt>
                <c:pt idx="81">
                  <c:v>45998</c:v>
                </c:pt>
                <c:pt idx="82">
                  <c:v>45999</c:v>
                </c:pt>
                <c:pt idx="83">
                  <c:v>46000</c:v>
                </c:pt>
                <c:pt idx="84">
                  <c:v>46001</c:v>
                </c:pt>
                <c:pt idx="85">
                  <c:v>46002</c:v>
                </c:pt>
                <c:pt idx="86">
                  <c:v>46003</c:v>
                </c:pt>
                <c:pt idx="87">
                  <c:v>46004</c:v>
                </c:pt>
                <c:pt idx="88">
                  <c:v>46005</c:v>
                </c:pt>
                <c:pt idx="89">
                  <c:v>46006</c:v>
                </c:pt>
                <c:pt idx="90">
                  <c:v>46007</c:v>
                </c:pt>
                <c:pt idx="91">
                  <c:v>46008</c:v>
                </c:pt>
                <c:pt idx="92">
                  <c:v>46009</c:v>
                </c:pt>
                <c:pt idx="93">
                  <c:v>46010</c:v>
                </c:pt>
                <c:pt idx="94">
                  <c:v>46011</c:v>
                </c:pt>
                <c:pt idx="95">
                  <c:v>46012</c:v>
                </c:pt>
                <c:pt idx="96">
                  <c:v>46013</c:v>
                </c:pt>
                <c:pt idx="97">
                  <c:v>46014</c:v>
                </c:pt>
                <c:pt idx="98">
                  <c:v>46015</c:v>
                </c:pt>
                <c:pt idx="99">
                  <c:v>46016</c:v>
                </c:pt>
                <c:pt idx="100">
                  <c:v>46017</c:v>
                </c:pt>
                <c:pt idx="101">
                  <c:v>46018</c:v>
                </c:pt>
                <c:pt idx="102">
                  <c:v>46019</c:v>
                </c:pt>
                <c:pt idx="103">
                  <c:v>46020</c:v>
                </c:pt>
                <c:pt idx="104">
                  <c:v>46021</c:v>
                </c:pt>
                <c:pt idx="105">
                  <c:v>46022</c:v>
                </c:pt>
                <c:pt idx="106">
                  <c:v>46023</c:v>
                </c:pt>
                <c:pt idx="107">
                  <c:v>46024</c:v>
                </c:pt>
                <c:pt idx="108">
                  <c:v>46025</c:v>
                </c:pt>
                <c:pt idx="109">
                  <c:v>46026</c:v>
                </c:pt>
                <c:pt idx="110">
                  <c:v>46027</c:v>
                </c:pt>
                <c:pt idx="111">
                  <c:v>46028</c:v>
                </c:pt>
                <c:pt idx="112">
                  <c:v>46029</c:v>
                </c:pt>
                <c:pt idx="113">
                  <c:v>46030</c:v>
                </c:pt>
                <c:pt idx="114">
                  <c:v>46031</c:v>
                </c:pt>
                <c:pt idx="115">
                  <c:v>46032</c:v>
                </c:pt>
                <c:pt idx="116">
                  <c:v>46033</c:v>
                </c:pt>
                <c:pt idx="117">
                  <c:v>46034</c:v>
                </c:pt>
                <c:pt idx="118">
                  <c:v>46035</c:v>
                </c:pt>
                <c:pt idx="119">
                  <c:v>46036</c:v>
                </c:pt>
                <c:pt idx="120">
                  <c:v>46037</c:v>
                </c:pt>
                <c:pt idx="121">
                  <c:v>46038</c:v>
                </c:pt>
                <c:pt idx="122">
                  <c:v>46039</c:v>
                </c:pt>
                <c:pt idx="123">
                  <c:v>46040</c:v>
                </c:pt>
                <c:pt idx="124">
                  <c:v>46041</c:v>
                </c:pt>
                <c:pt idx="125">
                  <c:v>46042</c:v>
                </c:pt>
              </c:numCache>
            </c:numRef>
          </c:xVal>
          <c:yVal>
            <c:numRef>
              <c:f>'ET - SGR'!$C$2:$C$127</c:f>
              <c:numCache>
                <c:formatCode>General</c:formatCode>
                <c:ptCount val="126"/>
                <c:pt idx="29">
                  <c:v>20</c:v>
                </c:pt>
                <c:pt idx="77">
                  <c:v>20</c:v>
                </c:pt>
                <c:pt idx="81">
                  <c:v>20</c:v>
                </c:pt>
                <c:pt idx="84">
                  <c:v>20</c:v>
                </c:pt>
                <c:pt idx="87">
                  <c:v>20</c:v>
                </c:pt>
                <c:pt idx="96">
                  <c:v>20</c:v>
                </c:pt>
                <c:pt idx="105">
                  <c:v>20</c:v>
                </c:pt>
                <c:pt idx="111">
                  <c:v>20</c:v>
                </c:pt>
                <c:pt idx="113">
                  <c:v>20</c:v>
                </c:pt>
                <c:pt idx="125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F5-43F7-BCF6-2062402A663E}"/>
            </c:ext>
          </c:extLst>
        </c:ser>
        <c:ser>
          <c:idx val="3"/>
          <c:order val="4"/>
          <c:tx>
            <c:strRef>
              <c:f>'ET - SGR'!$D$1</c:f>
              <c:strCache>
                <c:ptCount val="1"/>
                <c:pt idx="0">
                  <c:v>Lluvia (mm)</c:v>
                </c:pt>
              </c:strCache>
            </c:strRef>
          </c:tx>
          <c:spPr>
            <a:ln w="19050">
              <a:noFill/>
            </a:ln>
          </c:spPr>
          <c:marker>
            <c:symbol val="diamond"/>
            <c:size val="7"/>
            <c:spPr>
              <a:ln>
                <a:noFill/>
              </a:ln>
            </c:spPr>
          </c:marker>
          <c:xVal>
            <c:numRef>
              <c:f>'ET - SGR'!$A$2:$A$153</c:f>
              <c:numCache>
                <c:formatCode>d\-mmm</c:formatCode>
                <c:ptCount val="152"/>
                <c:pt idx="0">
                  <c:v>45917</c:v>
                </c:pt>
                <c:pt idx="1">
                  <c:v>45918</c:v>
                </c:pt>
                <c:pt idx="2">
                  <c:v>45919</c:v>
                </c:pt>
                <c:pt idx="3">
                  <c:v>45920</c:v>
                </c:pt>
                <c:pt idx="4">
                  <c:v>45921</c:v>
                </c:pt>
                <c:pt idx="5">
                  <c:v>45922</c:v>
                </c:pt>
                <c:pt idx="6">
                  <c:v>45923</c:v>
                </c:pt>
                <c:pt idx="7">
                  <c:v>45924</c:v>
                </c:pt>
                <c:pt idx="8">
                  <c:v>45925</c:v>
                </c:pt>
                <c:pt idx="9">
                  <c:v>45926</c:v>
                </c:pt>
                <c:pt idx="10">
                  <c:v>45927</c:v>
                </c:pt>
                <c:pt idx="11">
                  <c:v>45928</c:v>
                </c:pt>
                <c:pt idx="12">
                  <c:v>45929</c:v>
                </c:pt>
                <c:pt idx="13">
                  <c:v>45930</c:v>
                </c:pt>
                <c:pt idx="14">
                  <c:v>45931</c:v>
                </c:pt>
                <c:pt idx="15">
                  <c:v>45932</c:v>
                </c:pt>
                <c:pt idx="16">
                  <c:v>45933</c:v>
                </c:pt>
                <c:pt idx="17">
                  <c:v>45934</c:v>
                </c:pt>
                <c:pt idx="18">
                  <c:v>45935</c:v>
                </c:pt>
                <c:pt idx="19">
                  <c:v>45936</c:v>
                </c:pt>
                <c:pt idx="20">
                  <c:v>45937</c:v>
                </c:pt>
                <c:pt idx="21">
                  <c:v>45938</c:v>
                </c:pt>
                <c:pt idx="22">
                  <c:v>45939</c:v>
                </c:pt>
                <c:pt idx="23">
                  <c:v>45940</c:v>
                </c:pt>
                <c:pt idx="24">
                  <c:v>45941</c:v>
                </c:pt>
                <c:pt idx="25">
                  <c:v>45942</c:v>
                </c:pt>
                <c:pt idx="26">
                  <c:v>45943</c:v>
                </c:pt>
                <c:pt idx="27">
                  <c:v>45944</c:v>
                </c:pt>
                <c:pt idx="28">
                  <c:v>45945</c:v>
                </c:pt>
                <c:pt idx="29">
                  <c:v>45946</c:v>
                </c:pt>
                <c:pt idx="30">
                  <c:v>45947</c:v>
                </c:pt>
                <c:pt idx="31">
                  <c:v>45948</c:v>
                </c:pt>
                <c:pt idx="32">
                  <c:v>45949</c:v>
                </c:pt>
                <c:pt idx="33">
                  <c:v>45950</c:v>
                </c:pt>
                <c:pt idx="34">
                  <c:v>45951</c:v>
                </c:pt>
                <c:pt idx="35">
                  <c:v>45952</c:v>
                </c:pt>
                <c:pt idx="36">
                  <c:v>45953</c:v>
                </c:pt>
                <c:pt idx="37">
                  <c:v>45954</c:v>
                </c:pt>
                <c:pt idx="38">
                  <c:v>45955</c:v>
                </c:pt>
                <c:pt idx="39">
                  <c:v>45956</c:v>
                </c:pt>
                <c:pt idx="40">
                  <c:v>45957</c:v>
                </c:pt>
                <c:pt idx="41">
                  <c:v>45958</c:v>
                </c:pt>
                <c:pt idx="42">
                  <c:v>45959</c:v>
                </c:pt>
                <c:pt idx="43">
                  <c:v>45960</c:v>
                </c:pt>
                <c:pt idx="44">
                  <c:v>45961</c:v>
                </c:pt>
                <c:pt idx="45">
                  <c:v>45962</c:v>
                </c:pt>
                <c:pt idx="46">
                  <c:v>45963</c:v>
                </c:pt>
                <c:pt idx="47">
                  <c:v>45964</c:v>
                </c:pt>
                <c:pt idx="48">
                  <c:v>45965</c:v>
                </c:pt>
                <c:pt idx="49">
                  <c:v>45966</c:v>
                </c:pt>
                <c:pt idx="50">
                  <c:v>45967</c:v>
                </c:pt>
                <c:pt idx="51">
                  <c:v>45968</c:v>
                </c:pt>
                <c:pt idx="52">
                  <c:v>45969</c:v>
                </c:pt>
                <c:pt idx="53">
                  <c:v>45970</c:v>
                </c:pt>
                <c:pt idx="54">
                  <c:v>45971</c:v>
                </c:pt>
                <c:pt idx="55">
                  <c:v>45972</c:v>
                </c:pt>
                <c:pt idx="56">
                  <c:v>45973</c:v>
                </c:pt>
                <c:pt idx="57">
                  <c:v>45974</c:v>
                </c:pt>
                <c:pt idx="58">
                  <c:v>45975</c:v>
                </c:pt>
                <c:pt idx="59">
                  <c:v>45976</c:v>
                </c:pt>
                <c:pt idx="60">
                  <c:v>45977</c:v>
                </c:pt>
                <c:pt idx="61">
                  <c:v>45978</c:v>
                </c:pt>
                <c:pt idx="62">
                  <c:v>45979</c:v>
                </c:pt>
                <c:pt idx="63">
                  <c:v>45980</c:v>
                </c:pt>
                <c:pt idx="64">
                  <c:v>45981</c:v>
                </c:pt>
                <c:pt idx="65">
                  <c:v>45982</c:v>
                </c:pt>
                <c:pt idx="66">
                  <c:v>45983</c:v>
                </c:pt>
                <c:pt idx="67">
                  <c:v>45984</c:v>
                </c:pt>
                <c:pt idx="68">
                  <c:v>45985</c:v>
                </c:pt>
                <c:pt idx="69">
                  <c:v>45986</c:v>
                </c:pt>
                <c:pt idx="70">
                  <c:v>45987</c:v>
                </c:pt>
                <c:pt idx="71">
                  <c:v>45988</c:v>
                </c:pt>
                <c:pt idx="72">
                  <c:v>45989</c:v>
                </c:pt>
                <c:pt idx="73">
                  <c:v>45990</c:v>
                </c:pt>
                <c:pt idx="74">
                  <c:v>45991</c:v>
                </c:pt>
                <c:pt idx="75">
                  <c:v>45992</c:v>
                </c:pt>
                <c:pt idx="76">
                  <c:v>45993</c:v>
                </c:pt>
                <c:pt idx="77">
                  <c:v>45994</c:v>
                </c:pt>
                <c:pt idx="78">
                  <c:v>45995</c:v>
                </c:pt>
                <c:pt idx="79">
                  <c:v>45996</c:v>
                </c:pt>
                <c:pt idx="80">
                  <c:v>45997</c:v>
                </c:pt>
                <c:pt idx="81">
                  <c:v>45998</c:v>
                </c:pt>
                <c:pt idx="82">
                  <c:v>45999</c:v>
                </c:pt>
                <c:pt idx="83">
                  <c:v>46000</c:v>
                </c:pt>
                <c:pt idx="84">
                  <c:v>46001</c:v>
                </c:pt>
                <c:pt idx="85">
                  <c:v>46002</c:v>
                </c:pt>
                <c:pt idx="86">
                  <c:v>46003</c:v>
                </c:pt>
                <c:pt idx="87">
                  <c:v>46004</c:v>
                </c:pt>
                <c:pt idx="88">
                  <c:v>46005</c:v>
                </c:pt>
                <c:pt idx="89">
                  <c:v>46006</c:v>
                </c:pt>
                <c:pt idx="90">
                  <c:v>46007</c:v>
                </c:pt>
                <c:pt idx="91">
                  <c:v>46008</c:v>
                </c:pt>
                <c:pt idx="92">
                  <c:v>46009</c:v>
                </c:pt>
                <c:pt idx="93">
                  <c:v>46010</c:v>
                </c:pt>
                <c:pt idx="94">
                  <c:v>46011</c:v>
                </c:pt>
                <c:pt idx="95">
                  <c:v>46012</c:v>
                </c:pt>
                <c:pt idx="96">
                  <c:v>46013</c:v>
                </c:pt>
                <c:pt idx="97">
                  <c:v>46014</c:v>
                </c:pt>
                <c:pt idx="98">
                  <c:v>46015</c:v>
                </c:pt>
                <c:pt idx="99">
                  <c:v>46016</c:v>
                </c:pt>
                <c:pt idx="100">
                  <c:v>46017</c:v>
                </c:pt>
                <c:pt idx="101">
                  <c:v>46018</c:v>
                </c:pt>
                <c:pt idx="102">
                  <c:v>46019</c:v>
                </c:pt>
                <c:pt idx="103">
                  <c:v>46020</c:v>
                </c:pt>
                <c:pt idx="104">
                  <c:v>46021</c:v>
                </c:pt>
                <c:pt idx="105">
                  <c:v>46022</c:v>
                </c:pt>
                <c:pt idx="106">
                  <c:v>46023</c:v>
                </c:pt>
                <c:pt idx="107">
                  <c:v>46024</c:v>
                </c:pt>
                <c:pt idx="108">
                  <c:v>46025</c:v>
                </c:pt>
                <c:pt idx="109">
                  <c:v>46026</c:v>
                </c:pt>
                <c:pt idx="110">
                  <c:v>46027</c:v>
                </c:pt>
                <c:pt idx="111">
                  <c:v>46028</c:v>
                </c:pt>
                <c:pt idx="112">
                  <c:v>46029</c:v>
                </c:pt>
                <c:pt idx="113">
                  <c:v>46030</c:v>
                </c:pt>
                <c:pt idx="114">
                  <c:v>46031</c:v>
                </c:pt>
                <c:pt idx="115">
                  <c:v>46032</c:v>
                </c:pt>
                <c:pt idx="116">
                  <c:v>46033</c:v>
                </c:pt>
                <c:pt idx="117">
                  <c:v>46034</c:v>
                </c:pt>
                <c:pt idx="118">
                  <c:v>46035</c:v>
                </c:pt>
                <c:pt idx="119">
                  <c:v>46036</c:v>
                </c:pt>
                <c:pt idx="120">
                  <c:v>46037</c:v>
                </c:pt>
                <c:pt idx="121">
                  <c:v>46038</c:v>
                </c:pt>
                <c:pt idx="122">
                  <c:v>46039</c:v>
                </c:pt>
                <c:pt idx="123">
                  <c:v>46040</c:v>
                </c:pt>
                <c:pt idx="124">
                  <c:v>46041</c:v>
                </c:pt>
                <c:pt idx="125">
                  <c:v>46042</c:v>
                </c:pt>
                <c:pt idx="126">
                  <c:v>46043</c:v>
                </c:pt>
                <c:pt idx="127">
                  <c:v>46044</c:v>
                </c:pt>
                <c:pt idx="128">
                  <c:v>46045</c:v>
                </c:pt>
                <c:pt idx="129">
                  <c:v>46046</c:v>
                </c:pt>
                <c:pt idx="130">
                  <c:v>46047</c:v>
                </c:pt>
                <c:pt idx="131">
                  <c:v>46048</c:v>
                </c:pt>
                <c:pt idx="132">
                  <c:v>46049</c:v>
                </c:pt>
                <c:pt idx="133">
                  <c:v>46050</c:v>
                </c:pt>
                <c:pt idx="134">
                  <c:v>46051</c:v>
                </c:pt>
                <c:pt idx="135">
                  <c:v>46052</c:v>
                </c:pt>
                <c:pt idx="136">
                  <c:v>46053</c:v>
                </c:pt>
                <c:pt idx="137">
                  <c:v>46054</c:v>
                </c:pt>
                <c:pt idx="138">
                  <c:v>46055</c:v>
                </c:pt>
                <c:pt idx="139">
                  <c:v>46056</c:v>
                </c:pt>
                <c:pt idx="140">
                  <c:v>46057</c:v>
                </c:pt>
                <c:pt idx="141">
                  <c:v>46058</c:v>
                </c:pt>
                <c:pt idx="142">
                  <c:v>46059</c:v>
                </c:pt>
                <c:pt idx="143">
                  <c:v>46060</c:v>
                </c:pt>
                <c:pt idx="144">
                  <c:v>46061</c:v>
                </c:pt>
                <c:pt idx="145">
                  <c:v>46062</c:v>
                </c:pt>
                <c:pt idx="146">
                  <c:v>46063</c:v>
                </c:pt>
                <c:pt idx="147">
                  <c:v>46064</c:v>
                </c:pt>
                <c:pt idx="148">
                  <c:v>46065</c:v>
                </c:pt>
                <c:pt idx="149">
                  <c:v>46066</c:v>
                </c:pt>
                <c:pt idx="150">
                  <c:v>46067</c:v>
                </c:pt>
                <c:pt idx="151">
                  <c:v>46068</c:v>
                </c:pt>
              </c:numCache>
            </c:numRef>
          </c:xVal>
          <c:yVal>
            <c:numRef>
              <c:f>'ET - SGR'!$D$2:$D$153</c:f>
              <c:numCache>
                <c:formatCode>General</c:formatCode>
                <c:ptCount val="152"/>
                <c:pt idx="4">
                  <c:v>22</c:v>
                </c:pt>
                <c:pt idx="18">
                  <c:v>32</c:v>
                </c:pt>
                <c:pt idx="37">
                  <c:v>65</c:v>
                </c:pt>
                <c:pt idx="51">
                  <c:v>40</c:v>
                </c:pt>
                <c:pt idx="56">
                  <c:v>10</c:v>
                </c:pt>
                <c:pt idx="59">
                  <c:v>30</c:v>
                </c:pt>
                <c:pt idx="60">
                  <c:v>7</c:v>
                </c:pt>
                <c:pt idx="64">
                  <c:v>13</c:v>
                </c:pt>
                <c:pt idx="75">
                  <c:v>5</c:v>
                </c:pt>
                <c:pt idx="95">
                  <c:v>29</c:v>
                </c:pt>
                <c:pt idx="120">
                  <c:v>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08D2-4D65-875A-B81B957A7D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129472"/>
        <c:axId val="72096512"/>
      </c:scatterChart>
      <c:dateAx>
        <c:axId val="73129472"/>
        <c:scaling>
          <c:orientation val="minMax"/>
        </c:scaling>
        <c:delete val="0"/>
        <c:axPos val="b"/>
        <c:majorGridlines>
          <c:spPr>
            <a:ln>
              <a:gradFill>
                <a:gsLst>
                  <a:gs pos="62900">
                    <a:srgbClr val="CAD7EF"/>
                  </a:gs>
                  <a:gs pos="0">
                    <a:schemeClr val="accent1">
                      <a:tint val="66000"/>
                      <a:satMod val="160000"/>
                    </a:schemeClr>
                  </a:gs>
                  <a:gs pos="50000">
                    <a:schemeClr val="accent1">
                      <a:tint val="44500"/>
                      <a:satMod val="160000"/>
                    </a:schemeClr>
                  </a:gs>
                  <a:gs pos="100000">
                    <a:schemeClr val="accent1">
                      <a:tint val="23500"/>
                      <a:satMod val="160000"/>
                    </a:schemeClr>
                  </a:gs>
                </a:gsLst>
                <a:lin ang="5400000" scaled="0"/>
              </a:gra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s-AR"/>
                  <a:t>Fecha</a:t>
                </a:r>
              </a:p>
            </c:rich>
          </c:tx>
          <c:layout/>
          <c:overlay val="0"/>
        </c:title>
        <c:numFmt formatCode="d\-mmm" sourceLinked="1"/>
        <c:majorTickMark val="out"/>
        <c:minorTickMark val="none"/>
        <c:tickLblPos val="nextTo"/>
        <c:spPr>
          <a:ln/>
        </c:spPr>
        <c:crossAx val="72096512"/>
        <c:crossesAt val="0"/>
        <c:auto val="0"/>
        <c:lblOffset val="100"/>
        <c:baseTimeUnit val="days"/>
        <c:majorUnit val="7"/>
        <c:majorTimeUnit val="days"/>
      </c:dateAx>
      <c:valAx>
        <c:axId val="72096512"/>
        <c:scaling>
          <c:orientation val="minMax"/>
          <c:max val="150"/>
        </c:scaling>
        <c:delete val="0"/>
        <c:axPos val="l"/>
        <c:majorGridlines/>
        <c:minorGridlines>
          <c:spPr>
            <a:effectLst>
              <a:outerShdw blurRad="50800" dist="50800" dir="5400000" algn="ctr" rotWithShape="0">
                <a:schemeClr val="tx2">
                  <a:lumMod val="20000"/>
                  <a:lumOff val="80000"/>
                </a:schemeClr>
              </a:outerShdw>
            </a:effectLst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s-AR"/>
                  <a:t>Milímetros</a:t>
                </a:r>
              </a:p>
            </c:rich>
          </c:tx>
          <c:layout/>
          <c:overlay val="0"/>
        </c:title>
        <c:numFmt formatCode="0" sourceLinked="1"/>
        <c:majorTickMark val="out"/>
        <c:minorTickMark val="none"/>
        <c:tickLblPos val="nextTo"/>
        <c:crossAx val="73129472"/>
        <c:crosses val="autoZero"/>
        <c:crossBetween val="between"/>
        <c:majorUnit val="10"/>
        <c:minorUnit val="5"/>
      </c:valAx>
    </c:plotArea>
    <c:legend>
      <c:legendPos val="r"/>
      <c:layout>
        <c:manualLayout>
          <c:xMode val="edge"/>
          <c:yMode val="edge"/>
          <c:x val="0.83738071202638142"/>
          <c:y val="6.2320227950958158E-2"/>
          <c:w val="0.13227409650716737"/>
          <c:h val="0.30924429779995011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 sz="10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s-AR" sz="1000"/>
              <a:t>Balance Hídrico El</a:t>
            </a:r>
            <a:r>
              <a:rPr lang="es-AR" sz="1000" baseline="0"/>
              <a:t> Trebol II</a:t>
            </a:r>
            <a:r>
              <a:rPr lang="es-AR" sz="1000"/>
              <a:t> -</a:t>
            </a:r>
            <a:r>
              <a:rPr lang="es-AR" sz="1000" baseline="0"/>
              <a:t> SGR</a:t>
            </a:r>
            <a:r>
              <a:rPr lang="es-AR" sz="1000"/>
              <a:t> / Maiz / 2025-26</a:t>
            </a:r>
          </a:p>
        </c:rich>
      </c:tx>
      <c:layout>
        <c:manualLayout>
          <c:xMode val="edge"/>
          <c:yMode val="edge"/>
          <c:x val="0.21040055868607355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226154069895393"/>
          <c:y val="0.14569861510470347"/>
          <c:w val="0.84457095371215152"/>
          <c:h val="0.67322353684846992"/>
        </c:manualLayout>
      </c:layout>
      <c:barChart>
        <c:barDir val="col"/>
        <c:grouping val="clustered"/>
        <c:varyColors val="0"/>
        <c:ser>
          <c:idx val="2"/>
          <c:order val="3"/>
          <c:tx>
            <c:v>Riegos</c:v>
          </c:tx>
          <c:invertIfNegative val="0"/>
          <c:cat>
            <c:numRef>
              <c:f>'ET - SGR'!$A$2:$A$153</c:f>
              <c:numCache>
                <c:formatCode>d\-mmm</c:formatCode>
                <c:ptCount val="152"/>
                <c:pt idx="0">
                  <c:v>45917</c:v>
                </c:pt>
                <c:pt idx="1">
                  <c:v>45918</c:v>
                </c:pt>
                <c:pt idx="2">
                  <c:v>45919</c:v>
                </c:pt>
                <c:pt idx="3">
                  <c:v>45920</c:v>
                </c:pt>
                <c:pt idx="4">
                  <c:v>45921</c:v>
                </c:pt>
                <c:pt idx="5">
                  <c:v>45922</c:v>
                </c:pt>
                <c:pt idx="6">
                  <c:v>45923</c:v>
                </c:pt>
                <c:pt idx="7">
                  <c:v>45924</c:v>
                </c:pt>
                <c:pt idx="8">
                  <c:v>45925</c:v>
                </c:pt>
                <c:pt idx="9">
                  <c:v>45926</c:v>
                </c:pt>
                <c:pt idx="10">
                  <c:v>45927</c:v>
                </c:pt>
                <c:pt idx="11">
                  <c:v>45928</c:v>
                </c:pt>
                <c:pt idx="12">
                  <c:v>45929</c:v>
                </c:pt>
                <c:pt idx="13">
                  <c:v>45930</c:v>
                </c:pt>
                <c:pt idx="14">
                  <c:v>45931</c:v>
                </c:pt>
                <c:pt idx="15">
                  <c:v>45932</c:v>
                </c:pt>
                <c:pt idx="16">
                  <c:v>45933</c:v>
                </c:pt>
                <c:pt idx="17">
                  <c:v>45934</c:v>
                </c:pt>
                <c:pt idx="18">
                  <c:v>45935</c:v>
                </c:pt>
                <c:pt idx="19">
                  <c:v>45936</c:v>
                </c:pt>
                <c:pt idx="20">
                  <c:v>45937</c:v>
                </c:pt>
                <c:pt idx="21">
                  <c:v>45938</c:v>
                </c:pt>
                <c:pt idx="22">
                  <c:v>45939</c:v>
                </c:pt>
                <c:pt idx="23">
                  <c:v>45940</c:v>
                </c:pt>
                <c:pt idx="24">
                  <c:v>45941</c:v>
                </c:pt>
                <c:pt idx="25">
                  <c:v>45942</c:v>
                </c:pt>
                <c:pt idx="26">
                  <c:v>45943</c:v>
                </c:pt>
                <c:pt idx="27">
                  <c:v>45944</c:v>
                </c:pt>
                <c:pt idx="28">
                  <c:v>45945</c:v>
                </c:pt>
                <c:pt idx="29">
                  <c:v>45946</c:v>
                </c:pt>
                <c:pt idx="30">
                  <c:v>45947</c:v>
                </c:pt>
                <c:pt idx="31">
                  <c:v>45948</c:v>
                </c:pt>
                <c:pt idx="32">
                  <c:v>45949</c:v>
                </c:pt>
                <c:pt idx="33">
                  <c:v>45950</c:v>
                </c:pt>
                <c:pt idx="34">
                  <c:v>45951</c:v>
                </c:pt>
                <c:pt idx="35">
                  <c:v>45952</c:v>
                </c:pt>
                <c:pt idx="36">
                  <c:v>45953</c:v>
                </c:pt>
                <c:pt idx="37">
                  <c:v>45954</c:v>
                </c:pt>
                <c:pt idx="38">
                  <c:v>45955</c:v>
                </c:pt>
                <c:pt idx="39">
                  <c:v>45956</c:v>
                </c:pt>
                <c:pt idx="40">
                  <c:v>45957</c:v>
                </c:pt>
                <c:pt idx="41">
                  <c:v>45958</c:v>
                </c:pt>
                <c:pt idx="42">
                  <c:v>45959</c:v>
                </c:pt>
                <c:pt idx="43">
                  <c:v>45960</c:v>
                </c:pt>
                <c:pt idx="44">
                  <c:v>45961</c:v>
                </c:pt>
                <c:pt idx="45">
                  <c:v>45962</c:v>
                </c:pt>
                <c:pt idx="46">
                  <c:v>45963</c:v>
                </c:pt>
                <c:pt idx="47">
                  <c:v>45964</c:v>
                </c:pt>
                <c:pt idx="48">
                  <c:v>45965</c:v>
                </c:pt>
                <c:pt idx="49">
                  <c:v>45966</c:v>
                </c:pt>
                <c:pt idx="50">
                  <c:v>45967</c:v>
                </c:pt>
                <c:pt idx="51">
                  <c:v>45968</c:v>
                </c:pt>
                <c:pt idx="52">
                  <c:v>45969</c:v>
                </c:pt>
                <c:pt idx="53">
                  <c:v>45970</c:v>
                </c:pt>
                <c:pt idx="54">
                  <c:v>45971</c:v>
                </c:pt>
                <c:pt idx="55">
                  <c:v>45972</c:v>
                </c:pt>
                <c:pt idx="56">
                  <c:v>45973</c:v>
                </c:pt>
                <c:pt idx="57">
                  <c:v>45974</c:v>
                </c:pt>
                <c:pt idx="58">
                  <c:v>45975</c:v>
                </c:pt>
                <c:pt idx="59">
                  <c:v>45976</c:v>
                </c:pt>
                <c:pt idx="60">
                  <c:v>45977</c:v>
                </c:pt>
                <c:pt idx="61">
                  <c:v>45978</c:v>
                </c:pt>
                <c:pt idx="62">
                  <c:v>45979</c:v>
                </c:pt>
                <c:pt idx="63">
                  <c:v>45980</c:v>
                </c:pt>
                <c:pt idx="64">
                  <c:v>45981</c:v>
                </c:pt>
                <c:pt idx="65">
                  <c:v>45982</c:v>
                </c:pt>
                <c:pt idx="66">
                  <c:v>45983</c:v>
                </c:pt>
                <c:pt idx="67">
                  <c:v>45984</c:v>
                </c:pt>
                <c:pt idx="68">
                  <c:v>45985</c:v>
                </c:pt>
                <c:pt idx="69">
                  <c:v>45986</c:v>
                </c:pt>
                <c:pt idx="70">
                  <c:v>45987</c:v>
                </c:pt>
                <c:pt idx="71">
                  <c:v>45988</c:v>
                </c:pt>
                <c:pt idx="72">
                  <c:v>45989</c:v>
                </c:pt>
                <c:pt idx="73">
                  <c:v>45990</c:v>
                </c:pt>
                <c:pt idx="74">
                  <c:v>45991</c:v>
                </c:pt>
                <c:pt idx="75">
                  <c:v>45992</c:v>
                </c:pt>
                <c:pt idx="76">
                  <c:v>45993</c:v>
                </c:pt>
                <c:pt idx="77">
                  <c:v>45994</c:v>
                </c:pt>
                <c:pt idx="78">
                  <c:v>45995</c:v>
                </c:pt>
                <c:pt idx="79">
                  <c:v>45996</c:v>
                </c:pt>
                <c:pt idx="80">
                  <c:v>45997</c:v>
                </c:pt>
                <c:pt idx="81">
                  <c:v>45998</c:v>
                </c:pt>
                <c:pt idx="82">
                  <c:v>45999</c:v>
                </c:pt>
                <c:pt idx="83">
                  <c:v>46000</c:v>
                </c:pt>
                <c:pt idx="84">
                  <c:v>46001</c:v>
                </c:pt>
                <c:pt idx="85">
                  <c:v>46002</c:v>
                </c:pt>
                <c:pt idx="86">
                  <c:v>46003</c:v>
                </c:pt>
                <c:pt idx="87">
                  <c:v>46004</c:v>
                </c:pt>
                <c:pt idx="88">
                  <c:v>46005</c:v>
                </c:pt>
                <c:pt idx="89">
                  <c:v>46006</c:v>
                </c:pt>
                <c:pt idx="90">
                  <c:v>46007</c:v>
                </c:pt>
                <c:pt idx="91">
                  <c:v>46008</c:v>
                </c:pt>
                <c:pt idx="92">
                  <c:v>46009</c:v>
                </c:pt>
                <c:pt idx="93">
                  <c:v>46010</c:v>
                </c:pt>
                <c:pt idx="94">
                  <c:v>46011</c:v>
                </c:pt>
                <c:pt idx="95">
                  <c:v>46012</c:v>
                </c:pt>
                <c:pt idx="96">
                  <c:v>46013</c:v>
                </c:pt>
                <c:pt idx="97">
                  <c:v>46014</c:v>
                </c:pt>
                <c:pt idx="98">
                  <c:v>46015</c:v>
                </c:pt>
                <c:pt idx="99">
                  <c:v>46016</c:v>
                </c:pt>
                <c:pt idx="100">
                  <c:v>46017</c:v>
                </c:pt>
                <c:pt idx="101">
                  <c:v>46018</c:v>
                </c:pt>
                <c:pt idx="102">
                  <c:v>46019</c:v>
                </c:pt>
                <c:pt idx="103">
                  <c:v>46020</c:v>
                </c:pt>
                <c:pt idx="104">
                  <c:v>46021</c:v>
                </c:pt>
                <c:pt idx="105">
                  <c:v>46022</c:v>
                </c:pt>
                <c:pt idx="106">
                  <c:v>46023</c:v>
                </c:pt>
                <c:pt idx="107">
                  <c:v>46024</c:v>
                </c:pt>
                <c:pt idx="108">
                  <c:v>46025</c:v>
                </c:pt>
                <c:pt idx="109">
                  <c:v>46026</c:v>
                </c:pt>
                <c:pt idx="110">
                  <c:v>46027</c:v>
                </c:pt>
                <c:pt idx="111">
                  <c:v>46028</c:v>
                </c:pt>
                <c:pt idx="112">
                  <c:v>46029</c:v>
                </c:pt>
                <c:pt idx="113">
                  <c:v>46030</c:v>
                </c:pt>
                <c:pt idx="114">
                  <c:v>46031</c:v>
                </c:pt>
                <c:pt idx="115">
                  <c:v>46032</c:v>
                </c:pt>
                <c:pt idx="116">
                  <c:v>46033</c:v>
                </c:pt>
                <c:pt idx="117">
                  <c:v>46034</c:v>
                </c:pt>
                <c:pt idx="118">
                  <c:v>46035</c:v>
                </c:pt>
                <c:pt idx="119">
                  <c:v>46036</c:v>
                </c:pt>
                <c:pt idx="120">
                  <c:v>46037</c:v>
                </c:pt>
                <c:pt idx="121">
                  <c:v>46038</c:v>
                </c:pt>
                <c:pt idx="122">
                  <c:v>46039</c:v>
                </c:pt>
                <c:pt idx="123">
                  <c:v>46040</c:v>
                </c:pt>
                <c:pt idx="124">
                  <c:v>46041</c:v>
                </c:pt>
                <c:pt idx="125">
                  <c:v>46042</c:v>
                </c:pt>
                <c:pt idx="126">
                  <c:v>46043</c:v>
                </c:pt>
                <c:pt idx="127">
                  <c:v>46044</c:v>
                </c:pt>
                <c:pt idx="128">
                  <c:v>46045</c:v>
                </c:pt>
                <c:pt idx="129">
                  <c:v>46046</c:v>
                </c:pt>
                <c:pt idx="130">
                  <c:v>46047</c:v>
                </c:pt>
                <c:pt idx="131">
                  <c:v>46048</c:v>
                </c:pt>
                <c:pt idx="132">
                  <c:v>46049</c:v>
                </c:pt>
                <c:pt idx="133">
                  <c:v>46050</c:v>
                </c:pt>
                <c:pt idx="134">
                  <c:v>46051</c:v>
                </c:pt>
                <c:pt idx="135">
                  <c:v>46052</c:v>
                </c:pt>
                <c:pt idx="136">
                  <c:v>46053</c:v>
                </c:pt>
                <c:pt idx="137">
                  <c:v>46054</c:v>
                </c:pt>
                <c:pt idx="138">
                  <c:v>46055</c:v>
                </c:pt>
                <c:pt idx="139">
                  <c:v>46056</c:v>
                </c:pt>
                <c:pt idx="140">
                  <c:v>46057</c:v>
                </c:pt>
                <c:pt idx="141">
                  <c:v>46058</c:v>
                </c:pt>
                <c:pt idx="142">
                  <c:v>46059</c:v>
                </c:pt>
                <c:pt idx="143">
                  <c:v>46060</c:v>
                </c:pt>
                <c:pt idx="144">
                  <c:v>46061</c:v>
                </c:pt>
                <c:pt idx="145">
                  <c:v>46062</c:v>
                </c:pt>
                <c:pt idx="146">
                  <c:v>46063</c:v>
                </c:pt>
                <c:pt idx="147">
                  <c:v>46064</c:v>
                </c:pt>
                <c:pt idx="148">
                  <c:v>46065</c:v>
                </c:pt>
                <c:pt idx="149">
                  <c:v>46066</c:v>
                </c:pt>
                <c:pt idx="150">
                  <c:v>46067</c:v>
                </c:pt>
                <c:pt idx="151">
                  <c:v>46068</c:v>
                </c:pt>
              </c:numCache>
            </c:numRef>
          </c:cat>
          <c:val>
            <c:numRef>
              <c:f>'ET - SGR'!$C$2:$C$153</c:f>
              <c:numCache>
                <c:formatCode>General</c:formatCode>
                <c:ptCount val="152"/>
                <c:pt idx="29">
                  <c:v>20</c:v>
                </c:pt>
                <c:pt idx="77">
                  <c:v>20</c:v>
                </c:pt>
                <c:pt idx="81">
                  <c:v>20</c:v>
                </c:pt>
                <c:pt idx="84">
                  <c:v>20</c:v>
                </c:pt>
                <c:pt idx="87">
                  <c:v>20</c:v>
                </c:pt>
                <c:pt idx="96">
                  <c:v>20</c:v>
                </c:pt>
                <c:pt idx="105">
                  <c:v>20</c:v>
                </c:pt>
                <c:pt idx="111">
                  <c:v>20</c:v>
                </c:pt>
                <c:pt idx="113">
                  <c:v>20</c:v>
                </c:pt>
                <c:pt idx="125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B5-48DF-8D27-7D124473B5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3129472"/>
        <c:axId val="72096512"/>
      </c:barChart>
      <c:lineChart>
        <c:grouping val="standard"/>
        <c:varyColors val="0"/>
        <c:ser>
          <c:idx val="11"/>
          <c:order val="0"/>
          <c:tx>
            <c:strRef>
              <c:f>'ET - SGR'!$P$1</c:f>
              <c:strCache>
                <c:ptCount val="1"/>
                <c:pt idx="0">
                  <c:v>AU: Secano</c:v>
                </c:pt>
              </c:strCache>
            </c:strRef>
          </c:tx>
          <c:marker>
            <c:symbol val="none"/>
          </c:marker>
          <c:cat>
            <c:numRef>
              <c:f>'ET - SGR'!$A$2:$A$153</c:f>
              <c:numCache>
                <c:formatCode>d\-mmm</c:formatCode>
                <c:ptCount val="152"/>
                <c:pt idx="0">
                  <c:v>45917</c:v>
                </c:pt>
                <c:pt idx="1">
                  <c:v>45918</c:v>
                </c:pt>
                <c:pt idx="2">
                  <c:v>45919</c:v>
                </c:pt>
                <c:pt idx="3">
                  <c:v>45920</c:v>
                </c:pt>
                <c:pt idx="4">
                  <c:v>45921</c:v>
                </c:pt>
                <c:pt idx="5">
                  <c:v>45922</c:v>
                </c:pt>
                <c:pt idx="6">
                  <c:v>45923</c:v>
                </c:pt>
                <c:pt idx="7">
                  <c:v>45924</c:v>
                </c:pt>
                <c:pt idx="8">
                  <c:v>45925</c:v>
                </c:pt>
                <c:pt idx="9">
                  <c:v>45926</c:v>
                </c:pt>
                <c:pt idx="10">
                  <c:v>45927</c:v>
                </c:pt>
                <c:pt idx="11">
                  <c:v>45928</c:v>
                </c:pt>
                <c:pt idx="12">
                  <c:v>45929</c:v>
                </c:pt>
                <c:pt idx="13">
                  <c:v>45930</c:v>
                </c:pt>
                <c:pt idx="14">
                  <c:v>45931</c:v>
                </c:pt>
                <c:pt idx="15">
                  <c:v>45932</c:v>
                </c:pt>
                <c:pt idx="16">
                  <c:v>45933</c:v>
                </c:pt>
                <c:pt idx="17">
                  <c:v>45934</c:v>
                </c:pt>
                <c:pt idx="18">
                  <c:v>45935</c:v>
                </c:pt>
                <c:pt idx="19">
                  <c:v>45936</c:v>
                </c:pt>
                <c:pt idx="20">
                  <c:v>45937</c:v>
                </c:pt>
                <c:pt idx="21">
                  <c:v>45938</c:v>
                </c:pt>
                <c:pt idx="22">
                  <c:v>45939</c:v>
                </c:pt>
                <c:pt idx="23">
                  <c:v>45940</c:v>
                </c:pt>
                <c:pt idx="24">
                  <c:v>45941</c:v>
                </c:pt>
                <c:pt idx="25">
                  <c:v>45942</c:v>
                </c:pt>
                <c:pt idx="26">
                  <c:v>45943</c:v>
                </c:pt>
                <c:pt idx="27">
                  <c:v>45944</c:v>
                </c:pt>
                <c:pt idx="28">
                  <c:v>45945</c:v>
                </c:pt>
                <c:pt idx="29">
                  <c:v>45946</c:v>
                </c:pt>
                <c:pt idx="30">
                  <c:v>45947</c:v>
                </c:pt>
                <c:pt idx="31">
                  <c:v>45948</c:v>
                </c:pt>
                <c:pt idx="32">
                  <c:v>45949</c:v>
                </c:pt>
                <c:pt idx="33">
                  <c:v>45950</c:v>
                </c:pt>
                <c:pt idx="34">
                  <c:v>45951</c:v>
                </c:pt>
                <c:pt idx="35">
                  <c:v>45952</c:v>
                </c:pt>
                <c:pt idx="36">
                  <c:v>45953</c:v>
                </c:pt>
                <c:pt idx="37">
                  <c:v>45954</c:v>
                </c:pt>
                <c:pt idx="38">
                  <c:v>45955</c:v>
                </c:pt>
                <c:pt idx="39">
                  <c:v>45956</c:v>
                </c:pt>
                <c:pt idx="40">
                  <c:v>45957</c:v>
                </c:pt>
                <c:pt idx="41">
                  <c:v>45958</c:v>
                </c:pt>
                <c:pt idx="42">
                  <c:v>45959</c:v>
                </c:pt>
                <c:pt idx="43">
                  <c:v>45960</c:v>
                </c:pt>
                <c:pt idx="44">
                  <c:v>45961</c:v>
                </c:pt>
                <c:pt idx="45">
                  <c:v>45962</c:v>
                </c:pt>
                <c:pt idx="46">
                  <c:v>45963</c:v>
                </c:pt>
                <c:pt idx="47">
                  <c:v>45964</c:v>
                </c:pt>
                <c:pt idx="48">
                  <c:v>45965</c:v>
                </c:pt>
                <c:pt idx="49">
                  <c:v>45966</c:v>
                </c:pt>
                <c:pt idx="50">
                  <c:v>45967</c:v>
                </c:pt>
                <c:pt idx="51">
                  <c:v>45968</c:v>
                </c:pt>
                <c:pt idx="52">
                  <c:v>45969</c:v>
                </c:pt>
                <c:pt idx="53">
                  <c:v>45970</c:v>
                </c:pt>
                <c:pt idx="54">
                  <c:v>45971</c:v>
                </c:pt>
                <c:pt idx="55">
                  <c:v>45972</c:v>
                </c:pt>
                <c:pt idx="56">
                  <c:v>45973</c:v>
                </c:pt>
                <c:pt idx="57">
                  <c:v>45974</c:v>
                </c:pt>
                <c:pt idx="58">
                  <c:v>45975</c:v>
                </c:pt>
                <c:pt idx="59">
                  <c:v>45976</c:v>
                </c:pt>
                <c:pt idx="60">
                  <c:v>45977</c:v>
                </c:pt>
                <c:pt idx="61">
                  <c:v>45978</c:v>
                </c:pt>
                <c:pt idx="62">
                  <c:v>45979</c:v>
                </c:pt>
                <c:pt idx="63">
                  <c:v>45980</c:v>
                </c:pt>
                <c:pt idx="64">
                  <c:v>45981</c:v>
                </c:pt>
                <c:pt idx="65">
                  <c:v>45982</c:v>
                </c:pt>
                <c:pt idx="66">
                  <c:v>45983</c:v>
                </c:pt>
                <c:pt idx="67">
                  <c:v>45984</c:v>
                </c:pt>
                <c:pt idx="68">
                  <c:v>45985</c:v>
                </c:pt>
                <c:pt idx="69">
                  <c:v>45986</c:v>
                </c:pt>
                <c:pt idx="70">
                  <c:v>45987</c:v>
                </c:pt>
                <c:pt idx="71">
                  <c:v>45988</c:v>
                </c:pt>
                <c:pt idx="72">
                  <c:v>45989</c:v>
                </c:pt>
                <c:pt idx="73">
                  <c:v>45990</c:v>
                </c:pt>
                <c:pt idx="74">
                  <c:v>45991</c:v>
                </c:pt>
                <c:pt idx="75">
                  <c:v>45992</c:v>
                </c:pt>
                <c:pt idx="76">
                  <c:v>45993</c:v>
                </c:pt>
                <c:pt idx="77">
                  <c:v>45994</c:v>
                </c:pt>
                <c:pt idx="78">
                  <c:v>45995</c:v>
                </c:pt>
                <c:pt idx="79">
                  <c:v>45996</c:v>
                </c:pt>
                <c:pt idx="80">
                  <c:v>45997</c:v>
                </c:pt>
                <c:pt idx="81">
                  <c:v>45998</c:v>
                </c:pt>
                <c:pt idx="82">
                  <c:v>45999</c:v>
                </c:pt>
                <c:pt idx="83">
                  <c:v>46000</c:v>
                </c:pt>
                <c:pt idx="84">
                  <c:v>46001</c:v>
                </c:pt>
                <c:pt idx="85">
                  <c:v>46002</c:v>
                </c:pt>
                <c:pt idx="86">
                  <c:v>46003</c:v>
                </c:pt>
                <c:pt idx="87">
                  <c:v>46004</c:v>
                </c:pt>
                <c:pt idx="88">
                  <c:v>46005</c:v>
                </c:pt>
                <c:pt idx="89">
                  <c:v>46006</c:v>
                </c:pt>
                <c:pt idx="90">
                  <c:v>46007</c:v>
                </c:pt>
                <c:pt idx="91">
                  <c:v>46008</c:v>
                </c:pt>
                <c:pt idx="92">
                  <c:v>46009</c:v>
                </c:pt>
                <c:pt idx="93">
                  <c:v>46010</c:v>
                </c:pt>
                <c:pt idx="94">
                  <c:v>46011</c:v>
                </c:pt>
                <c:pt idx="95">
                  <c:v>46012</c:v>
                </c:pt>
                <c:pt idx="96">
                  <c:v>46013</c:v>
                </c:pt>
                <c:pt idx="97">
                  <c:v>46014</c:v>
                </c:pt>
                <c:pt idx="98">
                  <c:v>46015</c:v>
                </c:pt>
                <c:pt idx="99">
                  <c:v>46016</c:v>
                </c:pt>
                <c:pt idx="100">
                  <c:v>46017</c:v>
                </c:pt>
                <c:pt idx="101">
                  <c:v>46018</c:v>
                </c:pt>
                <c:pt idx="102">
                  <c:v>46019</c:v>
                </c:pt>
                <c:pt idx="103">
                  <c:v>46020</c:v>
                </c:pt>
                <c:pt idx="104">
                  <c:v>46021</c:v>
                </c:pt>
                <c:pt idx="105">
                  <c:v>46022</c:v>
                </c:pt>
                <c:pt idx="106">
                  <c:v>46023</c:v>
                </c:pt>
                <c:pt idx="107">
                  <c:v>46024</c:v>
                </c:pt>
                <c:pt idx="108">
                  <c:v>46025</c:v>
                </c:pt>
                <c:pt idx="109">
                  <c:v>46026</c:v>
                </c:pt>
                <c:pt idx="110">
                  <c:v>46027</c:v>
                </c:pt>
                <c:pt idx="111">
                  <c:v>46028</c:v>
                </c:pt>
                <c:pt idx="112">
                  <c:v>46029</c:v>
                </c:pt>
                <c:pt idx="113">
                  <c:v>46030</c:v>
                </c:pt>
                <c:pt idx="114">
                  <c:v>46031</c:v>
                </c:pt>
                <c:pt idx="115">
                  <c:v>46032</c:v>
                </c:pt>
                <c:pt idx="116">
                  <c:v>46033</c:v>
                </c:pt>
                <c:pt idx="117">
                  <c:v>46034</c:v>
                </c:pt>
                <c:pt idx="118">
                  <c:v>46035</c:v>
                </c:pt>
                <c:pt idx="119">
                  <c:v>46036</c:v>
                </c:pt>
                <c:pt idx="120">
                  <c:v>46037</c:v>
                </c:pt>
                <c:pt idx="121">
                  <c:v>46038</c:v>
                </c:pt>
                <c:pt idx="122">
                  <c:v>46039</c:v>
                </c:pt>
                <c:pt idx="123">
                  <c:v>46040</c:v>
                </c:pt>
                <c:pt idx="124">
                  <c:v>46041</c:v>
                </c:pt>
                <c:pt idx="125">
                  <c:v>46042</c:v>
                </c:pt>
                <c:pt idx="126">
                  <c:v>46043</c:v>
                </c:pt>
                <c:pt idx="127">
                  <c:v>46044</c:v>
                </c:pt>
                <c:pt idx="128">
                  <c:v>46045</c:v>
                </c:pt>
                <c:pt idx="129">
                  <c:v>46046</c:v>
                </c:pt>
                <c:pt idx="130">
                  <c:v>46047</c:v>
                </c:pt>
                <c:pt idx="131">
                  <c:v>46048</c:v>
                </c:pt>
                <c:pt idx="132">
                  <c:v>46049</c:v>
                </c:pt>
                <c:pt idx="133">
                  <c:v>46050</c:v>
                </c:pt>
                <c:pt idx="134">
                  <c:v>46051</c:v>
                </c:pt>
                <c:pt idx="135">
                  <c:v>46052</c:v>
                </c:pt>
                <c:pt idx="136">
                  <c:v>46053</c:v>
                </c:pt>
                <c:pt idx="137">
                  <c:v>46054</c:v>
                </c:pt>
                <c:pt idx="138">
                  <c:v>46055</c:v>
                </c:pt>
                <c:pt idx="139">
                  <c:v>46056</c:v>
                </c:pt>
                <c:pt idx="140">
                  <c:v>46057</c:v>
                </c:pt>
                <c:pt idx="141">
                  <c:v>46058</c:v>
                </c:pt>
                <c:pt idx="142">
                  <c:v>46059</c:v>
                </c:pt>
                <c:pt idx="143">
                  <c:v>46060</c:v>
                </c:pt>
                <c:pt idx="144">
                  <c:v>46061</c:v>
                </c:pt>
                <c:pt idx="145">
                  <c:v>46062</c:v>
                </c:pt>
                <c:pt idx="146">
                  <c:v>46063</c:v>
                </c:pt>
                <c:pt idx="147">
                  <c:v>46064</c:v>
                </c:pt>
                <c:pt idx="148">
                  <c:v>46065</c:v>
                </c:pt>
                <c:pt idx="149">
                  <c:v>46066</c:v>
                </c:pt>
                <c:pt idx="150">
                  <c:v>46067</c:v>
                </c:pt>
                <c:pt idx="151">
                  <c:v>46068</c:v>
                </c:pt>
              </c:numCache>
            </c:numRef>
          </c:cat>
          <c:val>
            <c:numRef>
              <c:f>'ET - SGR'!$P$2:$P$153</c:f>
              <c:numCache>
                <c:formatCode>0</c:formatCode>
                <c:ptCount val="152"/>
                <c:pt idx="0">
                  <c:v>89.784000000000006</c:v>
                </c:pt>
                <c:pt idx="1">
                  <c:v>89.550000000000011</c:v>
                </c:pt>
                <c:pt idx="2">
                  <c:v>89.280000000000015</c:v>
                </c:pt>
                <c:pt idx="3">
                  <c:v>89.050500000000014</c:v>
                </c:pt>
                <c:pt idx="4">
                  <c:v>110.69050000000001</c:v>
                </c:pt>
                <c:pt idx="5">
                  <c:v>110.31250000000001</c:v>
                </c:pt>
                <c:pt idx="6">
                  <c:v>110.20450000000001</c:v>
                </c:pt>
                <c:pt idx="7">
                  <c:v>109.96150000000002</c:v>
                </c:pt>
                <c:pt idx="8">
                  <c:v>109.45750000000001</c:v>
                </c:pt>
                <c:pt idx="9">
                  <c:v>108.8135</c:v>
                </c:pt>
                <c:pt idx="10">
                  <c:v>108.2535</c:v>
                </c:pt>
                <c:pt idx="11">
                  <c:v>107.60250000000001</c:v>
                </c:pt>
                <c:pt idx="12">
                  <c:v>107.0985</c:v>
                </c:pt>
                <c:pt idx="13">
                  <c:v>106.46850000000001</c:v>
                </c:pt>
                <c:pt idx="14">
                  <c:v>105.6585</c:v>
                </c:pt>
                <c:pt idx="15">
                  <c:v>105.2085</c:v>
                </c:pt>
                <c:pt idx="16">
                  <c:v>104.4885</c:v>
                </c:pt>
                <c:pt idx="17">
                  <c:v>103.6785</c:v>
                </c:pt>
                <c:pt idx="18">
                  <c:v>120</c:v>
                </c:pt>
                <c:pt idx="19">
                  <c:v>119.06399999999999</c:v>
                </c:pt>
                <c:pt idx="20">
                  <c:v>118.12799999999999</c:v>
                </c:pt>
                <c:pt idx="21">
                  <c:v>117.26399999999998</c:v>
                </c:pt>
                <c:pt idx="22">
                  <c:v>116.51399999999998</c:v>
                </c:pt>
                <c:pt idx="23">
                  <c:v>115.21399999999998</c:v>
                </c:pt>
                <c:pt idx="24">
                  <c:v>113.93899999999998</c:v>
                </c:pt>
                <c:pt idx="25">
                  <c:v>112.68899999999998</c:v>
                </c:pt>
                <c:pt idx="26">
                  <c:v>111.43899999999998</c:v>
                </c:pt>
                <c:pt idx="27">
                  <c:v>110.18899999999998</c:v>
                </c:pt>
                <c:pt idx="28">
                  <c:v>108.93899999999998</c:v>
                </c:pt>
                <c:pt idx="29">
                  <c:v>107.66399999999997</c:v>
                </c:pt>
                <c:pt idx="30">
                  <c:v>106.23899999999998</c:v>
                </c:pt>
                <c:pt idx="31">
                  <c:v>103.59899999999998</c:v>
                </c:pt>
                <c:pt idx="32">
                  <c:v>101.70699999999998</c:v>
                </c:pt>
                <c:pt idx="33">
                  <c:v>99.154999999999973</c:v>
                </c:pt>
                <c:pt idx="34">
                  <c:v>98.318999999999974</c:v>
                </c:pt>
                <c:pt idx="35">
                  <c:v>97.482999999999976</c:v>
                </c:pt>
                <c:pt idx="36">
                  <c:v>95.370999999999981</c:v>
                </c:pt>
                <c:pt idx="37">
                  <c:v>120</c:v>
                </c:pt>
                <c:pt idx="38">
                  <c:v>118.623</c:v>
                </c:pt>
                <c:pt idx="39">
                  <c:v>116.5575</c:v>
                </c:pt>
                <c:pt idx="40">
                  <c:v>114.46650000000001</c:v>
                </c:pt>
                <c:pt idx="41">
                  <c:v>111.91650000000001</c:v>
                </c:pt>
                <c:pt idx="42">
                  <c:v>109.36650000000002</c:v>
                </c:pt>
                <c:pt idx="43">
                  <c:v>106.76550000000002</c:v>
                </c:pt>
                <c:pt idx="44">
                  <c:v>104.01150000000001</c:v>
                </c:pt>
                <c:pt idx="45">
                  <c:v>102.05950000000001</c:v>
                </c:pt>
                <c:pt idx="46">
                  <c:v>99.499500000000012</c:v>
                </c:pt>
                <c:pt idx="47">
                  <c:v>96.747500000000016</c:v>
                </c:pt>
                <c:pt idx="48">
                  <c:v>96.427500000000023</c:v>
                </c:pt>
                <c:pt idx="49">
                  <c:v>94.283500000000018</c:v>
                </c:pt>
                <c:pt idx="50">
                  <c:v>91.147500000000022</c:v>
                </c:pt>
                <c:pt idx="51">
                  <c:v>120</c:v>
                </c:pt>
                <c:pt idx="52">
                  <c:v>116.07300000000001</c:v>
                </c:pt>
                <c:pt idx="53">
                  <c:v>115.072</c:v>
                </c:pt>
                <c:pt idx="54">
                  <c:v>110.7985</c:v>
                </c:pt>
                <c:pt idx="55">
                  <c:v>107.8725</c:v>
                </c:pt>
                <c:pt idx="56">
                  <c:v>112.86750000000001</c:v>
                </c:pt>
                <c:pt idx="57">
                  <c:v>110.40350000000001</c:v>
                </c:pt>
                <c:pt idx="58">
                  <c:v>110.0185</c:v>
                </c:pt>
                <c:pt idx="59">
                  <c:v>120</c:v>
                </c:pt>
                <c:pt idx="60">
                  <c:v>120</c:v>
                </c:pt>
                <c:pt idx="61">
                  <c:v>116.2655</c:v>
                </c:pt>
                <c:pt idx="62">
                  <c:v>112.0655</c:v>
                </c:pt>
                <c:pt idx="63">
                  <c:v>107.8655</c:v>
                </c:pt>
                <c:pt idx="64">
                  <c:v>116.58149999999999</c:v>
                </c:pt>
                <c:pt idx="65">
                  <c:v>112.12949999999999</c:v>
                </c:pt>
                <c:pt idx="66">
                  <c:v>107.4255</c:v>
                </c:pt>
                <c:pt idx="67">
                  <c:v>102.4695</c:v>
                </c:pt>
                <c:pt idx="68">
                  <c:v>99.025499999999994</c:v>
                </c:pt>
                <c:pt idx="69">
                  <c:v>93.745499999999993</c:v>
                </c:pt>
                <c:pt idx="70">
                  <c:v>89.905499999999989</c:v>
                </c:pt>
                <c:pt idx="71">
                  <c:v>86.54549999999999</c:v>
                </c:pt>
                <c:pt idx="72">
                  <c:v>82.225499999999982</c:v>
                </c:pt>
                <c:pt idx="73">
                  <c:v>77.233499999999978</c:v>
                </c:pt>
                <c:pt idx="74">
                  <c:v>76.465499999999977</c:v>
                </c:pt>
                <c:pt idx="75">
                  <c:v>75.513499999999979</c:v>
                </c:pt>
                <c:pt idx="76">
                  <c:v>69.465499999999977</c:v>
                </c:pt>
                <c:pt idx="77">
                  <c:v>64.089499999999973</c:v>
                </c:pt>
                <c:pt idx="78">
                  <c:v>59.289499999999975</c:v>
                </c:pt>
                <c:pt idx="79">
                  <c:v>57.369499999999974</c:v>
                </c:pt>
                <c:pt idx="80">
                  <c:v>53.481499999999976</c:v>
                </c:pt>
                <c:pt idx="81">
                  <c:v>47.529499999999977</c:v>
                </c:pt>
                <c:pt idx="82">
                  <c:v>44.60149999999998</c:v>
                </c:pt>
                <c:pt idx="83">
                  <c:v>37.60149999999998</c:v>
                </c:pt>
                <c:pt idx="84">
                  <c:v>30.401499999999981</c:v>
                </c:pt>
                <c:pt idx="85">
                  <c:v>25.60149999999998</c:v>
                </c:pt>
                <c:pt idx="86">
                  <c:v>21.60149999999998</c:v>
                </c:pt>
                <c:pt idx="87">
                  <c:v>15.60149999999998</c:v>
                </c:pt>
                <c:pt idx="88">
                  <c:v>8.7014999999999798</c:v>
                </c:pt>
                <c:pt idx="89">
                  <c:v>1.7014999999999798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22.4</c:v>
                </c:pt>
                <c:pt idx="96">
                  <c:v>15.359999999999998</c:v>
                </c:pt>
                <c:pt idx="97">
                  <c:v>8.1549999999999976</c:v>
                </c:pt>
                <c:pt idx="98">
                  <c:v>1.5549999999999971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10.005000000000001</c:v>
                </c:pt>
                <c:pt idx="121">
                  <c:v>3.963000000000001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B5-48DF-8D27-7D124473B5B2}"/>
            </c:ext>
          </c:extLst>
        </c:ser>
        <c:ser>
          <c:idx val="0"/>
          <c:order val="1"/>
          <c:tx>
            <c:strRef>
              <c:f>'ET - SGR'!$K$1</c:f>
              <c:strCache>
                <c:ptCount val="1"/>
                <c:pt idx="0">
                  <c:v>AU: Riego</c:v>
                </c:pt>
              </c:strCache>
            </c:strRef>
          </c:tx>
          <c:spPr>
            <a:ln>
              <a:solidFill>
                <a:schemeClr val="accent1">
                  <a:lumMod val="75000"/>
                  <a:alpha val="77000"/>
                </a:schemeClr>
              </a:solidFill>
            </a:ln>
          </c:spPr>
          <c:marker>
            <c:symbol val="none"/>
          </c:marker>
          <c:cat>
            <c:numRef>
              <c:f>'ET - SGR'!$A$2:$A$153</c:f>
              <c:numCache>
                <c:formatCode>d\-mmm</c:formatCode>
                <c:ptCount val="152"/>
                <c:pt idx="0">
                  <c:v>45917</c:v>
                </c:pt>
                <c:pt idx="1">
                  <c:v>45918</c:v>
                </c:pt>
                <c:pt idx="2">
                  <c:v>45919</c:v>
                </c:pt>
                <c:pt idx="3">
                  <c:v>45920</c:v>
                </c:pt>
                <c:pt idx="4">
                  <c:v>45921</c:v>
                </c:pt>
                <c:pt idx="5">
                  <c:v>45922</c:v>
                </c:pt>
                <c:pt idx="6">
                  <c:v>45923</c:v>
                </c:pt>
                <c:pt idx="7">
                  <c:v>45924</c:v>
                </c:pt>
                <c:pt idx="8">
                  <c:v>45925</c:v>
                </c:pt>
                <c:pt idx="9">
                  <c:v>45926</c:v>
                </c:pt>
                <c:pt idx="10">
                  <c:v>45927</c:v>
                </c:pt>
                <c:pt idx="11">
                  <c:v>45928</c:v>
                </c:pt>
                <c:pt idx="12">
                  <c:v>45929</c:v>
                </c:pt>
                <c:pt idx="13">
                  <c:v>45930</c:v>
                </c:pt>
                <c:pt idx="14">
                  <c:v>45931</c:v>
                </c:pt>
                <c:pt idx="15">
                  <c:v>45932</c:v>
                </c:pt>
                <c:pt idx="16">
                  <c:v>45933</c:v>
                </c:pt>
                <c:pt idx="17">
                  <c:v>45934</c:v>
                </c:pt>
                <c:pt idx="18">
                  <c:v>45935</c:v>
                </c:pt>
                <c:pt idx="19">
                  <c:v>45936</c:v>
                </c:pt>
                <c:pt idx="20">
                  <c:v>45937</c:v>
                </c:pt>
                <c:pt idx="21">
                  <c:v>45938</c:v>
                </c:pt>
                <c:pt idx="22">
                  <c:v>45939</c:v>
                </c:pt>
                <c:pt idx="23">
                  <c:v>45940</c:v>
                </c:pt>
                <c:pt idx="24">
                  <c:v>45941</c:v>
                </c:pt>
                <c:pt idx="25">
                  <c:v>45942</c:v>
                </c:pt>
                <c:pt idx="26">
                  <c:v>45943</c:v>
                </c:pt>
                <c:pt idx="27">
                  <c:v>45944</c:v>
                </c:pt>
                <c:pt idx="28">
                  <c:v>45945</c:v>
                </c:pt>
                <c:pt idx="29">
                  <c:v>45946</c:v>
                </c:pt>
                <c:pt idx="30">
                  <c:v>45947</c:v>
                </c:pt>
                <c:pt idx="31">
                  <c:v>45948</c:v>
                </c:pt>
                <c:pt idx="32">
                  <c:v>45949</c:v>
                </c:pt>
                <c:pt idx="33">
                  <c:v>45950</c:v>
                </c:pt>
                <c:pt idx="34">
                  <c:v>45951</c:v>
                </c:pt>
                <c:pt idx="35">
                  <c:v>45952</c:v>
                </c:pt>
                <c:pt idx="36">
                  <c:v>45953</c:v>
                </c:pt>
                <c:pt idx="37">
                  <c:v>45954</c:v>
                </c:pt>
                <c:pt idx="38">
                  <c:v>45955</c:v>
                </c:pt>
                <c:pt idx="39">
                  <c:v>45956</c:v>
                </c:pt>
                <c:pt idx="40">
                  <c:v>45957</c:v>
                </c:pt>
                <c:pt idx="41">
                  <c:v>45958</c:v>
                </c:pt>
                <c:pt idx="42">
                  <c:v>45959</c:v>
                </c:pt>
                <c:pt idx="43">
                  <c:v>45960</c:v>
                </c:pt>
                <c:pt idx="44">
                  <c:v>45961</c:v>
                </c:pt>
                <c:pt idx="45">
                  <c:v>45962</c:v>
                </c:pt>
                <c:pt idx="46">
                  <c:v>45963</c:v>
                </c:pt>
                <c:pt idx="47">
                  <c:v>45964</c:v>
                </c:pt>
                <c:pt idx="48">
                  <c:v>45965</c:v>
                </c:pt>
                <c:pt idx="49">
                  <c:v>45966</c:v>
                </c:pt>
                <c:pt idx="50">
                  <c:v>45967</c:v>
                </c:pt>
                <c:pt idx="51">
                  <c:v>45968</c:v>
                </c:pt>
                <c:pt idx="52">
                  <c:v>45969</c:v>
                </c:pt>
                <c:pt idx="53">
                  <c:v>45970</c:v>
                </c:pt>
                <c:pt idx="54">
                  <c:v>45971</c:v>
                </c:pt>
                <c:pt idx="55">
                  <c:v>45972</c:v>
                </c:pt>
                <c:pt idx="56">
                  <c:v>45973</c:v>
                </c:pt>
                <c:pt idx="57">
                  <c:v>45974</c:v>
                </c:pt>
                <c:pt idx="58">
                  <c:v>45975</c:v>
                </c:pt>
                <c:pt idx="59">
                  <c:v>45976</c:v>
                </c:pt>
                <c:pt idx="60">
                  <c:v>45977</c:v>
                </c:pt>
                <c:pt idx="61">
                  <c:v>45978</c:v>
                </c:pt>
                <c:pt idx="62">
                  <c:v>45979</c:v>
                </c:pt>
                <c:pt idx="63">
                  <c:v>45980</c:v>
                </c:pt>
                <c:pt idx="64">
                  <c:v>45981</c:v>
                </c:pt>
                <c:pt idx="65">
                  <c:v>45982</c:v>
                </c:pt>
                <c:pt idx="66">
                  <c:v>45983</c:v>
                </c:pt>
                <c:pt idx="67">
                  <c:v>45984</c:v>
                </c:pt>
                <c:pt idx="68">
                  <c:v>45985</c:v>
                </c:pt>
                <c:pt idx="69">
                  <c:v>45986</c:v>
                </c:pt>
                <c:pt idx="70">
                  <c:v>45987</c:v>
                </c:pt>
                <c:pt idx="71">
                  <c:v>45988</c:v>
                </c:pt>
                <c:pt idx="72">
                  <c:v>45989</c:v>
                </c:pt>
                <c:pt idx="73">
                  <c:v>45990</c:v>
                </c:pt>
                <c:pt idx="74">
                  <c:v>45991</c:v>
                </c:pt>
                <c:pt idx="75">
                  <c:v>45992</c:v>
                </c:pt>
                <c:pt idx="76">
                  <c:v>45993</c:v>
                </c:pt>
                <c:pt idx="77">
                  <c:v>45994</c:v>
                </c:pt>
                <c:pt idx="78">
                  <c:v>45995</c:v>
                </c:pt>
                <c:pt idx="79">
                  <c:v>45996</c:v>
                </c:pt>
                <c:pt idx="80">
                  <c:v>45997</c:v>
                </c:pt>
                <c:pt idx="81">
                  <c:v>45998</c:v>
                </c:pt>
                <c:pt idx="82">
                  <c:v>45999</c:v>
                </c:pt>
                <c:pt idx="83">
                  <c:v>46000</c:v>
                </c:pt>
                <c:pt idx="84">
                  <c:v>46001</c:v>
                </c:pt>
                <c:pt idx="85">
                  <c:v>46002</c:v>
                </c:pt>
                <c:pt idx="86">
                  <c:v>46003</c:v>
                </c:pt>
                <c:pt idx="87">
                  <c:v>46004</c:v>
                </c:pt>
                <c:pt idx="88">
                  <c:v>46005</c:v>
                </c:pt>
                <c:pt idx="89">
                  <c:v>46006</c:v>
                </c:pt>
                <c:pt idx="90">
                  <c:v>46007</c:v>
                </c:pt>
                <c:pt idx="91">
                  <c:v>46008</c:v>
                </c:pt>
                <c:pt idx="92">
                  <c:v>46009</c:v>
                </c:pt>
                <c:pt idx="93">
                  <c:v>46010</c:v>
                </c:pt>
                <c:pt idx="94">
                  <c:v>46011</c:v>
                </c:pt>
                <c:pt idx="95">
                  <c:v>46012</c:v>
                </c:pt>
                <c:pt idx="96">
                  <c:v>46013</c:v>
                </c:pt>
                <c:pt idx="97">
                  <c:v>46014</c:v>
                </c:pt>
                <c:pt idx="98">
                  <c:v>46015</c:v>
                </c:pt>
                <c:pt idx="99">
                  <c:v>46016</c:v>
                </c:pt>
                <c:pt idx="100">
                  <c:v>46017</c:v>
                </c:pt>
                <c:pt idx="101">
                  <c:v>46018</c:v>
                </c:pt>
                <c:pt idx="102">
                  <c:v>46019</c:v>
                </c:pt>
                <c:pt idx="103">
                  <c:v>46020</c:v>
                </c:pt>
                <c:pt idx="104">
                  <c:v>46021</c:v>
                </c:pt>
                <c:pt idx="105">
                  <c:v>46022</c:v>
                </c:pt>
                <c:pt idx="106">
                  <c:v>46023</c:v>
                </c:pt>
                <c:pt idx="107">
                  <c:v>46024</c:v>
                </c:pt>
                <c:pt idx="108">
                  <c:v>46025</c:v>
                </c:pt>
                <c:pt idx="109">
                  <c:v>46026</c:v>
                </c:pt>
                <c:pt idx="110">
                  <c:v>46027</c:v>
                </c:pt>
                <c:pt idx="111">
                  <c:v>46028</c:v>
                </c:pt>
                <c:pt idx="112">
                  <c:v>46029</c:v>
                </c:pt>
                <c:pt idx="113">
                  <c:v>46030</c:v>
                </c:pt>
                <c:pt idx="114">
                  <c:v>46031</c:v>
                </c:pt>
                <c:pt idx="115">
                  <c:v>46032</c:v>
                </c:pt>
                <c:pt idx="116">
                  <c:v>46033</c:v>
                </c:pt>
                <c:pt idx="117">
                  <c:v>46034</c:v>
                </c:pt>
                <c:pt idx="118">
                  <c:v>46035</c:v>
                </c:pt>
                <c:pt idx="119">
                  <c:v>46036</c:v>
                </c:pt>
                <c:pt idx="120">
                  <c:v>46037</c:v>
                </c:pt>
                <c:pt idx="121">
                  <c:v>46038</c:v>
                </c:pt>
                <c:pt idx="122">
                  <c:v>46039</c:v>
                </c:pt>
                <c:pt idx="123">
                  <c:v>46040</c:v>
                </c:pt>
                <c:pt idx="124">
                  <c:v>46041</c:v>
                </c:pt>
                <c:pt idx="125">
                  <c:v>46042</c:v>
                </c:pt>
                <c:pt idx="126">
                  <c:v>46043</c:v>
                </c:pt>
                <c:pt idx="127">
                  <c:v>46044</c:v>
                </c:pt>
                <c:pt idx="128">
                  <c:v>46045</c:v>
                </c:pt>
                <c:pt idx="129">
                  <c:v>46046</c:v>
                </c:pt>
                <c:pt idx="130">
                  <c:v>46047</c:v>
                </c:pt>
                <c:pt idx="131">
                  <c:v>46048</c:v>
                </c:pt>
                <c:pt idx="132">
                  <c:v>46049</c:v>
                </c:pt>
                <c:pt idx="133">
                  <c:v>46050</c:v>
                </c:pt>
                <c:pt idx="134">
                  <c:v>46051</c:v>
                </c:pt>
                <c:pt idx="135">
                  <c:v>46052</c:v>
                </c:pt>
                <c:pt idx="136">
                  <c:v>46053</c:v>
                </c:pt>
                <c:pt idx="137">
                  <c:v>46054</c:v>
                </c:pt>
                <c:pt idx="138">
                  <c:v>46055</c:v>
                </c:pt>
                <c:pt idx="139">
                  <c:v>46056</c:v>
                </c:pt>
                <c:pt idx="140">
                  <c:v>46057</c:v>
                </c:pt>
                <c:pt idx="141">
                  <c:v>46058</c:v>
                </c:pt>
                <c:pt idx="142">
                  <c:v>46059</c:v>
                </c:pt>
                <c:pt idx="143">
                  <c:v>46060</c:v>
                </c:pt>
                <c:pt idx="144">
                  <c:v>46061</c:v>
                </c:pt>
                <c:pt idx="145">
                  <c:v>46062</c:v>
                </c:pt>
                <c:pt idx="146">
                  <c:v>46063</c:v>
                </c:pt>
                <c:pt idx="147">
                  <c:v>46064</c:v>
                </c:pt>
                <c:pt idx="148">
                  <c:v>46065</c:v>
                </c:pt>
                <c:pt idx="149">
                  <c:v>46066</c:v>
                </c:pt>
                <c:pt idx="150">
                  <c:v>46067</c:v>
                </c:pt>
                <c:pt idx="151">
                  <c:v>46068</c:v>
                </c:pt>
              </c:numCache>
            </c:numRef>
          </c:cat>
          <c:val>
            <c:numRef>
              <c:f>'ET - SGR'!$K$2:$K$153</c:f>
              <c:numCache>
                <c:formatCode>0</c:formatCode>
                <c:ptCount val="152"/>
                <c:pt idx="0">
                  <c:v>89.784000000000006</c:v>
                </c:pt>
                <c:pt idx="1">
                  <c:v>89.550000000000011</c:v>
                </c:pt>
                <c:pt idx="2">
                  <c:v>89.280000000000015</c:v>
                </c:pt>
                <c:pt idx="3">
                  <c:v>89.050500000000014</c:v>
                </c:pt>
                <c:pt idx="4">
                  <c:v>110.69050000000001</c:v>
                </c:pt>
                <c:pt idx="5">
                  <c:v>110.31250000000001</c:v>
                </c:pt>
                <c:pt idx="6">
                  <c:v>110.20450000000001</c:v>
                </c:pt>
                <c:pt idx="7">
                  <c:v>109.96150000000002</c:v>
                </c:pt>
                <c:pt idx="8">
                  <c:v>109.45750000000001</c:v>
                </c:pt>
                <c:pt idx="9">
                  <c:v>108.8135</c:v>
                </c:pt>
                <c:pt idx="10">
                  <c:v>108.2535</c:v>
                </c:pt>
                <c:pt idx="11">
                  <c:v>107.60250000000001</c:v>
                </c:pt>
                <c:pt idx="12">
                  <c:v>107.0985</c:v>
                </c:pt>
                <c:pt idx="13">
                  <c:v>106.46850000000001</c:v>
                </c:pt>
                <c:pt idx="14">
                  <c:v>105.6585</c:v>
                </c:pt>
                <c:pt idx="15">
                  <c:v>105.2085</c:v>
                </c:pt>
                <c:pt idx="16">
                  <c:v>104.4885</c:v>
                </c:pt>
                <c:pt idx="17">
                  <c:v>103.6785</c:v>
                </c:pt>
                <c:pt idx="18">
                  <c:v>120</c:v>
                </c:pt>
                <c:pt idx="19">
                  <c:v>119.06399999999999</c:v>
                </c:pt>
                <c:pt idx="20">
                  <c:v>118.12799999999999</c:v>
                </c:pt>
                <c:pt idx="21">
                  <c:v>117.26399999999998</c:v>
                </c:pt>
                <c:pt idx="22">
                  <c:v>116.51399999999998</c:v>
                </c:pt>
                <c:pt idx="23">
                  <c:v>115.21399999999998</c:v>
                </c:pt>
                <c:pt idx="24">
                  <c:v>113.93899999999998</c:v>
                </c:pt>
                <c:pt idx="25">
                  <c:v>112.68899999999998</c:v>
                </c:pt>
                <c:pt idx="26">
                  <c:v>111.43899999999998</c:v>
                </c:pt>
                <c:pt idx="27">
                  <c:v>110.18899999999998</c:v>
                </c:pt>
                <c:pt idx="28">
                  <c:v>108.93899999999998</c:v>
                </c:pt>
                <c:pt idx="29">
                  <c:v>120</c:v>
                </c:pt>
                <c:pt idx="30">
                  <c:v>118.575</c:v>
                </c:pt>
                <c:pt idx="31">
                  <c:v>115.935</c:v>
                </c:pt>
                <c:pt idx="32">
                  <c:v>114.04300000000001</c:v>
                </c:pt>
                <c:pt idx="33">
                  <c:v>111.491</c:v>
                </c:pt>
                <c:pt idx="34">
                  <c:v>110.655</c:v>
                </c:pt>
                <c:pt idx="35">
                  <c:v>109.819</c:v>
                </c:pt>
                <c:pt idx="36">
                  <c:v>107.70700000000001</c:v>
                </c:pt>
                <c:pt idx="37">
                  <c:v>120</c:v>
                </c:pt>
                <c:pt idx="38">
                  <c:v>118.623</c:v>
                </c:pt>
                <c:pt idx="39">
                  <c:v>116.5575</c:v>
                </c:pt>
                <c:pt idx="40">
                  <c:v>114.46650000000001</c:v>
                </c:pt>
                <c:pt idx="41">
                  <c:v>111.91650000000001</c:v>
                </c:pt>
                <c:pt idx="42">
                  <c:v>109.36650000000002</c:v>
                </c:pt>
                <c:pt idx="43">
                  <c:v>106.76550000000002</c:v>
                </c:pt>
                <c:pt idx="44">
                  <c:v>104.01150000000001</c:v>
                </c:pt>
                <c:pt idx="45">
                  <c:v>102.05950000000001</c:v>
                </c:pt>
                <c:pt idx="46">
                  <c:v>99.499500000000012</c:v>
                </c:pt>
                <c:pt idx="47">
                  <c:v>96.747500000000016</c:v>
                </c:pt>
                <c:pt idx="48">
                  <c:v>96.427500000000023</c:v>
                </c:pt>
                <c:pt idx="49">
                  <c:v>94.283500000000018</c:v>
                </c:pt>
                <c:pt idx="50">
                  <c:v>91.147500000000022</c:v>
                </c:pt>
                <c:pt idx="51">
                  <c:v>120</c:v>
                </c:pt>
                <c:pt idx="52">
                  <c:v>116.07300000000001</c:v>
                </c:pt>
                <c:pt idx="53">
                  <c:v>115.072</c:v>
                </c:pt>
                <c:pt idx="54">
                  <c:v>110.7985</c:v>
                </c:pt>
                <c:pt idx="55">
                  <c:v>107.8725</c:v>
                </c:pt>
                <c:pt idx="56">
                  <c:v>112.86750000000001</c:v>
                </c:pt>
                <c:pt idx="57">
                  <c:v>110.40350000000001</c:v>
                </c:pt>
                <c:pt idx="58">
                  <c:v>110.0185</c:v>
                </c:pt>
                <c:pt idx="59">
                  <c:v>120</c:v>
                </c:pt>
                <c:pt idx="60">
                  <c:v>120</c:v>
                </c:pt>
                <c:pt idx="61">
                  <c:v>116.2655</c:v>
                </c:pt>
                <c:pt idx="62">
                  <c:v>112.0655</c:v>
                </c:pt>
                <c:pt idx="63">
                  <c:v>107.8655</c:v>
                </c:pt>
                <c:pt idx="64">
                  <c:v>116.58149999999999</c:v>
                </c:pt>
                <c:pt idx="65">
                  <c:v>112.12949999999999</c:v>
                </c:pt>
                <c:pt idx="66">
                  <c:v>107.4255</c:v>
                </c:pt>
                <c:pt idx="67">
                  <c:v>102.4695</c:v>
                </c:pt>
                <c:pt idx="68">
                  <c:v>99.025499999999994</c:v>
                </c:pt>
                <c:pt idx="69">
                  <c:v>93.745499999999993</c:v>
                </c:pt>
                <c:pt idx="70">
                  <c:v>89.905499999999989</c:v>
                </c:pt>
                <c:pt idx="71">
                  <c:v>86.54549999999999</c:v>
                </c:pt>
                <c:pt idx="72">
                  <c:v>82.225499999999982</c:v>
                </c:pt>
                <c:pt idx="73">
                  <c:v>77.233499999999978</c:v>
                </c:pt>
                <c:pt idx="74">
                  <c:v>76.465499999999977</c:v>
                </c:pt>
                <c:pt idx="75">
                  <c:v>75.513499999999979</c:v>
                </c:pt>
                <c:pt idx="76">
                  <c:v>69.465499999999977</c:v>
                </c:pt>
                <c:pt idx="77">
                  <c:v>84.089499999999973</c:v>
                </c:pt>
                <c:pt idx="78">
                  <c:v>79.289499999999975</c:v>
                </c:pt>
                <c:pt idx="79">
                  <c:v>77.369499999999974</c:v>
                </c:pt>
                <c:pt idx="80">
                  <c:v>73.481499999999969</c:v>
                </c:pt>
                <c:pt idx="81">
                  <c:v>87.52949999999997</c:v>
                </c:pt>
                <c:pt idx="82">
                  <c:v>84.601499999999973</c:v>
                </c:pt>
                <c:pt idx="83">
                  <c:v>77.601499999999973</c:v>
                </c:pt>
                <c:pt idx="84">
                  <c:v>90.40149999999997</c:v>
                </c:pt>
                <c:pt idx="85">
                  <c:v>85.601499999999973</c:v>
                </c:pt>
                <c:pt idx="86">
                  <c:v>81.601499999999973</c:v>
                </c:pt>
                <c:pt idx="87">
                  <c:v>95.601499999999973</c:v>
                </c:pt>
                <c:pt idx="88">
                  <c:v>88.701499999999967</c:v>
                </c:pt>
                <c:pt idx="89">
                  <c:v>81.701499999999967</c:v>
                </c:pt>
                <c:pt idx="90">
                  <c:v>74.501499999999965</c:v>
                </c:pt>
                <c:pt idx="91">
                  <c:v>72.551499999999962</c:v>
                </c:pt>
                <c:pt idx="92">
                  <c:v>68.811499999999967</c:v>
                </c:pt>
                <c:pt idx="93">
                  <c:v>65.621499999999969</c:v>
                </c:pt>
                <c:pt idx="94">
                  <c:v>59.021499999999968</c:v>
                </c:pt>
                <c:pt idx="95">
                  <c:v>81.42149999999998</c:v>
                </c:pt>
                <c:pt idx="96">
                  <c:v>94.381499999999974</c:v>
                </c:pt>
                <c:pt idx="97">
                  <c:v>87.176499999999976</c:v>
                </c:pt>
                <c:pt idx="98">
                  <c:v>80.576499999999982</c:v>
                </c:pt>
                <c:pt idx="99">
                  <c:v>74.306499999999986</c:v>
                </c:pt>
                <c:pt idx="100">
                  <c:v>68.146499999999989</c:v>
                </c:pt>
                <c:pt idx="101">
                  <c:v>60.501499999999986</c:v>
                </c:pt>
                <c:pt idx="102">
                  <c:v>52.746499999999983</c:v>
                </c:pt>
                <c:pt idx="103">
                  <c:v>45.15649999999998</c:v>
                </c:pt>
                <c:pt idx="104">
                  <c:v>40.866499999999981</c:v>
                </c:pt>
                <c:pt idx="105">
                  <c:v>54.486499999999978</c:v>
                </c:pt>
                <c:pt idx="106">
                  <c:v>47.886499999999977</c:v>
                </c:pt>
                <c:pt idx="107">
                  <c:v>41.08649999999998</c:v>
                </c:pt>
                <c:pt idx="108">
                  <c:v>33.886499999999977</c:v>
                </c:pt>
                <c:pt idx="109">
                  <c:v>26.836499999999976</c:v>
                </c:pt>
                <c:pt idx="110">
                  <c:v>19.736499999999978</c:v>
                </c:pt>
                <c:pt idx="111">
                  <c:v>31.876499999999979</c:v>
                </c:pt>
                <c:pt idx="112">
                  <c:v>31.876499999999979</c:v>
                </c:pt>
                <c:pt idx="113">
                  <c:v>51.876499999999979</c:v>
                </c:pt>
                <c:pt idx="114">
                  <c:v>50.926499999999976</c:v>
                </c:pt>
                <c:pt idx="115">
                  <c:v>48.741499999999974</c:v>
                </c:pt>
                <c:pt idx="116">
                  <c:v>42.661499999999975</c:v>
                </c:pt>
                <c:pt idx="117">
                  <c:v>36.201499999999974</c:v>
                </c:pt>
                <c:pt idx="118">
                  <c:v>30.501499999999975</c:v>
                </c:pt>
                <c:pt idx="119">
                  <c:v>24.801499999999976</c:v>
                </c:pt>
                <c:pt idx="120">
                  <c:v>34.806499999999978</c:v>
                </c:pt>
                <c:pt idx="121">
                  <c:v>28.764499999999977</c:v>
                </c:pt>
                <c:pt idx="122">
                  <c:v>22.997999999999976</c:v>
                </c:pt>
                <c:pt idx="123">
                  <c:v>16.385999999999974</c:v>
                </c:pt>
                <c:pt idx="124">
                  <c:v>10.017599999999973</c:v>
                </c:pt>
                <c:pt idx="125">
                  <c:v>24.797599999999974</c:v>
                </c:pt>
                <c:pt idx="126">
                  <c:v>19.316599999999973</c:v>
                </c:pt>
                <c:pt idx="127">
                  <c:v>13.574599999999972</c:v>
                </c:pt>
                <c:pt idx="128">
                  <c:v>7.7890999999999719</c:v>
                </c:pt>
                <c:pt idx="129">
                  <c:v>2.3080999999999721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CB5-48DF-8D27-7D124473B5B2}"/>
            </c:ext>
          </c:extLst>
        </c:ser>
        <c:ser>
          <c:idx val="1"/>
          <c:order val="2"/>
          <c:tx>
            <c:v>Umbral</c:v>
          </c:tx>
          <c:marker>
            <c:symbol val="none"/>
          </c:marker>
          <c:cat>
            <c:numRef>
              <c:f>'ET - SGR'!$A$2:$A$153</c:f>
              <c:numCache>
                <c:formatCode>d\-mmm</c:formatCode>
                <c:ptCount val="152"/>
                <c:pt idx="0">
                  <c:v>45917</c:v>
                </c:pt>
                <c:pt idx="1">
                  <c:v>45918</c:v>
                </c:pt>
                <c:pt idx="2">
                  <c:v>45919</c:v>
                </c:pt>
                <c:pt idx="3">
                  <c:v>45920</c:v>
                </c:pt>
                <c:pt idx="4">
                  <c:v>45921</c:v>
                </c:pt>
                <c:pt idx="5">
                  <c:v>45922</c:v>
                </c:pt>
                <c:pt idx="6">
                  <c:v>45923</c:v>
                </c:pt>
                <c:pt idx="7">
                  <c:v>45924</c:v>
                </c:pt>
                <c:pt idx="8">
                  <c:v>45925</c:v>
                </c:pt>
                <c:pt idx="9">
                  <c:v>45926</c:v>
                </c:pt>
                <c:pt idx="10">
                  <c:v>45927</c:v>
                </c:pt>
                <c:pt idx="11">
                  <c:v>45928</c:v>
                </c:pt>
                <c:pt idx="12">
                  <c:v>45929</c:v>
                </c:pt>
                <c:pt idx="13">
                  <c:v>45930</c:v>
                </c:pt>
                <c:pt idx="14">
                  <c:v>45931</c:v>
                </c:pt>
                <c:pt idx="15">
                  <c:v>45932</c:v>
                </c:pt>
                <c:pt idx="16">
                  <c:v>45933</c:v>
                </c:pt>
                <c:pt idx="17">
                  <c:v>45934</c:v>
                </c:pt>
                <c:pt idx="18">
                  <c:v>45935</c:v>
                </c:pt>
                <c:pt idx="19">
                  <c:v>45936</c:v>
                </c:pt>
                <c:pt idx="20">
                  <c:v>45937</c:v>
                </c:pt>
                <c:pt idx="21">
                  <c:v>45938</c:v>
                </c:pt>
                <c:pt idx="22">
                  <c:v>45939</c:v>
                </c:pt>
                <c:pt idx="23">
                  <c:v>45940</c:v>
                </c:pt>
                <c:pt idx="24">
                  <c:v>45941</c:v>
                </c:pt>
                <c:pt idx="25">
                  <c:v>45942</c:v>
                </c:pt>
                <c:pt idx="26">
                  <c:v>45943</c:v>
                </c:pt>
                <c:pt idx="27">
                  <c:v>45944</c:v>
                </c:pt>
                <c:pt idx="28">
                  <c:v>45945</c:v>
                </c:pt>
                <c:pt idx="29">
                  <c:v>45946</c:v>
                </c:pt>
                <c:pt idx="30">
                  <c:v>45947</c:v>
                </c:pt>
                <c:pt idx="31">
                  <c:v>45948</c:v>
                </c:pt>
                <c:pt idx="32">
                  <c:v>45949</c:v>
                </c:pt>
                <c:pt idx="33">
                  <c:v>45950</c:v>
                </c:pt>
                <c:pt idx="34">
                  <c:v>45951</c:v>
                </c:pt>
                <c:pt idx="35">
                  <c:v>45952</c:v>
                </c:pt>
                <c:pt idx="36">
                  <c:v>45953</c:v>
                </c:pt>
                <c:pt idx="37">
                  <c:v>45954</c:v>
                </c:pt>
                <c:pt idx="38">
                  <c:v>45955</c:v>
                </c:pt>
                <c:pt idx="39">
                  <c:v>45956</c:v>
                </c:pt>
                <c:pt idx="40">
                  <c:v>45957</c:v>
                </c:pt>
                <c:pt idx="41">
                  <c:v>45958</c:v>
                </c:pt>
                <c:pt idx="42">
                  <c:v>45959</c:v>
                </c:pt>
                <c:pt idx="43">
                  <c:v>45960</c:v>
                </c:pt>
                <c:pt idx="44">
                  <c:v>45961</c:v>
                </c:pt>
                <c:pt idx="45">
                  <c:v>45962</c:v>
                </c:pt>
                <c:pt idx="46">
                  <c:v>45963</c:v>
                </c:pt>
                <c:pt idx="47">
                  <c:v>45964</c:v>
                </c:pt>
                <c:pt idx="48">
                  <c:v>45965</c:v>
                </c:pt>
                <c:pt idx="49">
                  <c:v>45966</c:v>
                </c:pt>
                <c:pt idx="50">
                  <c:v>45967</c:v>
                </c:pt>
                <c:pt idx="51">
                  <c:v>45968</c:v>
                </c:pt>
                <c:pt idx="52">
                  <c:v>45969</c:v>
                </c:pt>
                <c:pt idx="53">
                  <c:v>45970</c:v>
                </c:pt>
                <c:pt idx="54">
                  <c:v>45971</c:v>
                </c:pt>
                <c:pt idx="55">
                  <c:v>45972</c:v>
                </c:pt>
                <c:pt idx="56">
                  <c:v>45973</c:v>
                </c:pt>
                <c:pt idx="57">
                  <c:v>45974</c:v>
                </c:pt>
                <c:pt idx="58">
                  <c:v>45975</c:v>
                </c:pt>
                <c:pt idx="59">
                  <c:v>45976</c:v>
                </c:pt>
                <c:pt idx="60">
                  <c:v>45977</c:v>
                </c:pt>
                <c:pt idx="61">
                  <c:v>45978</c:v>
                </c:pt>
                <c:pt idx="62">
                  <c:v>45979</c:v>
                </c:pt>
                <c:pt idx="63">
                  <c:v>45980</c:v>
                </c:pt>
                <c:pt idx="64">
                  <c:v>45981</c:v>
                </c:pt>
                <c:pt idx="65">
                  <c:v>45982</c:v>
                </c:pt>
                <c:pt idx="66">
                  <c:v>45983</c:v>
                </c:pt>
                <c:pt idx="67">
                  <c:v>45984</c:v>
                </c:pt>
                <c:pt idx="68">
                  <c:v>45985</c:v>
                </c:pt>
                <c:pt idx="69">
                  <c:v>45986</c:v>
                </c:pt>
                <c:pt idx="70">
                  <c:v>45987</c:v>
                </c:pt>
                <c:pt idx="71">
                  <c:v>45988</c:v>
                </c:pt>
                <c:pt idx="72">
                  <c:v>45989</c:v>
                </c:pt>
                <c:pt idx="73">
                  <c:v>45990</c:v>
                </c:pt>
                <c:pt idx="74">
                  <c:v>45991</c:v>
                </c:pt>
                <c:pt idx="75">
                  <c:v>45992</c:v>
                </c:pt>
                <c:pt idx="76">
                  <c:v>45993</c:v>
                </c:pt>
                <c:pt idx="77">
                  <c:v>45994</c:v>
                </c:pt>
                <c:pt idx="78">
                  <c:v>45995</c:v>
                </c:pt>
                <c:pt idx="79">
                  <c:v>45996</c:v>
                </c:pt>
                <c:pt idx="80">
                  <c:v>45997</c:v>
                </c:pt>
                <c:pt idx="81">
                  <c:v>45998</c:v>
                </c:pt>
                <c:pt idx="82">
                  <c:v>45999</c:v>
                </c:pt>
                <c:pt idx="83">
                  <c:v>46000</c:v>
                </c:pt>
                <c:pt idx="84">
                  <c:v>46001</c:v>
                </c:pt>
                <c:pt idx="85">
                  <c:v>46002</c:v>
                </c:pt>
                <c:pt idx="86">
                  <c:v>46003</c:v>
                </c:pt>
                <c:pt idx="87">
                  <c:v>46004</c:v>
                </c:pt>
                <c:pt idx="88">
                  <c:v>46005</c:v>
                </c:pt>
                <c:pt idx="89">
                  <c:v>46006</c:v>
                </c:pt>
                <c:pt idx="90">
                  <c:v>46007</c:v>
                </c:pt>
                <c:pt idx="91">
                  <c:v>46008</c:v>
                </c:pt>
                <c:pt idx="92">
                  <c:v>46009</c:v>
                </c:pt>
                <c:pt idx="93">
                  <c:v>46010</c:v>
                </c:pt>
                <c:pt idx="94">
                  <c:v>46011</c:v>
                </c:pt>
                <c:pt idx="95">
                  <c:v>46012</c:v>
                </c:pt>
                <c:pt idx="96">
                  <c:v>46013</c:v>
                </c:pt>
                <c:pt idx="97">
                  <c:v>46014</c:v>
                </c:pt>
                <c:pt idx="98">
                  <c:v>46015</c:v>
                </c:pt>
                <c:pt idx="99">
                  <c:v>46016</c:v>
                </c:pt>
                <c:pt idx="100">
                  <c:v>46017</c:v>
                </c:pt>
                <c:pt idx="101">
                  <c:v>46018</c:v>
                </c:pt>
                <c:pt idx="102">
                  <c:v>46019</c:v>
                </c:pt>
                <c:pt idx="103">
                  <c:v>46020</c:v>
                </c:pt>
                <c:pt idx="104">
                  <c:v>46021</c:v>
                </c:pt>
                <c:pt idx="105">
                  <c:v>46022</c:v>
                </c:pt>
                <c:pt idx="106">
                  <c:v>46023</c:v>
                </c:pt>
                <c:pt idx="107">
                  <c:v>46024</c:v>
                </c:pt>
                <c:pt idx="108">
                  <c:v>46025</c:v>
                </c:pt>
                <c:pt idx="109">
                  <c:v>46026</c:v>
                </c:pt>
                <c:pt idx="110">
                  <c:v>46027</c:v>
                </c:pt>
                <c:pt idx="111">
                  <c:v>46028</c:v>
                </c:pt>
                <c:pt idx="112">
                  <c:v>46029</c:v>
                </c:pt>
                <c:pt idx="113">
                  <c:v>46030</c:v>
                </c:pt>
                <c:pt idx="114">
                  <c:v>46031</c:v>
                </c:pt>
                <c:pt idx="115">
                  <c:v>46032</c:v>
                </c:pt>
                <c:pt idx="116">
                  <c:v>46033</c:v>
                </c:pt>
                <c:pt idx="117">
                  <c:v>46034</c:v>
                </c:pt>
                <c:pt idx="118">
                  <c:v>46035</c:v>
                </c:pt>
                <c:pt idx="119">
                  <c:v>46036</c:v>
                </c:pt>
                <c:pt idx="120">
                  <c:v>46037</c:v>
                </c:pt>
                <c:pt idx="121">
                  <c:v>46038</c:v>
                </c:pt>
                <c:pt idx="122">
                  <c:v>46039</c:v>
                </c:pt>
                <c:pt idx="123">
                  <c:v>46040</c:v>
                </c:pt>
                <c:pt idx="124">
                  <c:v>46041</c:v>
                </c:pt>
                <c:pt idx="125">
                  <c:v>46042</c:v>
                </c:pt>
                <c:pt idx="126">
                  <c:v>46043</c:v>
                </c:pt>
                <c:pt idx="127">
                  <c:v>46044</c:v>
                </c:pt>
                <c:pt idx="128">
                  <c:v>46045</c:v>
                </c:pt>
                <c:pt idx="129">
                  <c:v>46046</c:v>
                </c:pt>
                <c:pt idx="130">
                  <c:v>46047</c:v>
                </c:pt>
                <c:pt idx="131">
                  <c:v>46048</c:v>
                </c:pt>
                <c:pt idx="132">
                  <c:v>46049</c:v>
                </c:pt>
                <c:pt idx="133">
                  <c:v>46050</c:v>
                </c:pt>
                <c:pt idx="134">
                  <c:v>46051</c:v>
                </c:pt>
                <c:pt idx="135">
                  <c:v>46052</c:v>
                </c:pt>
                <c:pt idx="136">
                  <c:v>46053</c:v>
                </c:pt>
                <c:pt idx="137">
                  <c:v>46054</c:v>
                </c:pt>
                <c:pt idx="138">
                  <c:v>46055</c:v>
                </c:pt>
                <c:pt idx="139">
                  <c:v>46056</c:v>
                </c:pt>
                <c:pt idx="140">
                  <c:v>46057</c:v>
                </c:pt>
                <c:pt idx="141">
                  <c:v>46058</c:v>
                </c:pt>
                <c:pt idx="142">
                  <c:v>46059</c:v>
                </c:pt>
                <c:pt idx="143">
                  <c:v>46060</c:v>
                </c:pt>
                <c:pt idx="144">
                  <c:v>46061</c:v>
                </c:pt>
                <c:pt idx="145">
                  <c:v>46062</c:v>
                </c:pt>
                <c:pt idx="146">
                  <c:v>46063</c:v>
                </c:pt>
                <c:pt idx="147">
                  <c:v>46064</c:v>
                </c:pt>
                <c:pt idx="148">
                  <c:v>46065</c:v>
                </c:pt>
                <c:pt idx="149">
                  <c:v>46066</c:v>
                </c:pt>
                <c:pt idx="150">
                  <c:v>46067</c:v>
                </c:pt>
                <c:pt idx="151">
                  <c:v>46068</c:v>
                </c:pt>
              </c:numCache>
            </c:numRef>
          </c:cat>
          <c:val>
            <c:numRef>
              <c:f>'ET - SGR'!$M$2:$M$153</c:f>
              <c:numCache>
                <c:formatCode>General</c:formatCode>
                <c:ptCount val="152"/>
                <c:pt idx="0">
                  <c:v>60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  <c:pt idx="6">
                  <c:v>60</c:v>
                </c:pt>
                <c:pt idx="7">
                  <c:v>60</c:v>
                </c:pt>
                <c:pt idx="8">
                  <c:v>60</c:v>
                </c:pt>
                <c:pt idx="9">
                  <c:v>60</c:v>
                </c:pt>
                <c:pt idx="10">
                  <c:v>60</c:v>
                </c:pt>
                <c:pt idx="11">
                  <c:v>60</c:v>
                </c:pt>
                <c:pt idx="12">
                  <c:v>60</c:v>
                </c:pt>
                <c:pt idx="13">
                  <c:v>60</c:v>
                </c:pt>
                <c:pt idx="14">
                  <c:v>60</c:v>
                </c:pt>
                <c:pt idx="15">
                  <c:v>60</c:v>
                </c:pt>
                <c:pt idx="16">
                  <c:v>60</c:v>
                </c:pt>
                <c:pt idx="17">
                  <c:v>60</c:v>
                </c:pt>
                <c:pt idx="18">
                  <c:v>60</c:v>
                </c:pt>
                <c:pt idx="19">
                  <c:v>60</c:v>
                </c:pt>
                <c:pt idx="20">
                  <c:v>60</c:v>
                </c:pt>
                <c:pt idx="21">
                  <c:v>60</c:v>
                </c:pt>
                <c:pt idx="22">
                  <c:v>60</c:v>
                </c:pt>
                <c:pt idx="23">
                  <c:v>60</c:v>
                </c:pt>
                <c:pt idx="24">
                  <c:v>60</c:v>
                </c:pt>
                <c:pt idx="25">
                  <c:v>60</c:v>
                </c:pt>
                <c:pt idx="26">
                  <c:v>60</c:v>
                </c:pt>
                <c:pt idx="27">
                  <c:v>60</c:v>
                </c:pt>
                <c:pt idx="28">
                  <c:v>60</c:v>
                </c:pt>
                <c:pt idx="29">
                  <c:v>60</c:v>
                </c:pt>
                <c:pt idx="30">
                  <c:v>60</c:v>
                </c:pt>
                <c:pt idx="31">
                  <c:v>60</c:v>
                </c:pt>
                <c:pt idx="32">
                  <c:v>60</c:v>
                </c:pt>
                <c:pt idx="33">
                  <c:v>60</c:v>
                </c:pt>
                <c:pt idx="34">
                  <c:v>60</c:v>
                </c:pt>
                <c:pt idx="35">
                  <c:v>60</c:v>
                </c:pt>
                <c:pt idx="36">
                  <c:v>60</c:v>
                </c:pt>
                <c:pt idx="37">
                  <c:v>60</c:v>
                </c:pt>
                <c:pt idx="38">
                  <c:v>60</c:v>
                </c:pt>
                <c:pt idx="39">
                  <c:v>60</c:v>
                </c:pt>
                <c:pt idx="40">
                  <c:v>60</c:v>
                </c:pt>
                <c:pt idx="41">
                  <c:v>60</c:v>
                </c:pt>
                <c:pt idx="42">
                  <c:v>60</c:v>
                </c:pt>
                <c:pt idx="43">
                  <c:v>60</c:v>
                </c:pt>
                <c:pt idx="44">
                  <c:v>60</c:v>
                </c:pt>
                <c:pt idx="45">
                  <c:v>60</c:v>
                </c:pt>
                <c:pt idx="46">
                  <c:v>60</c:v>
                </c:pt>
                <c:pt idx="47">
                  <c:v>60</c:v>
                </c:pt>
                <c:pt idx="48">
                  <c:v>60</c:v>
                </c:pt>
                <c:pt idx="49">
                  <c:v>60</c:v>
                </c:pt>
                <c:pt idx="50">
                  <c:v>60</c:v>
                </c:pt>
                <c:pt idx="51">
                  <c:v>60</c:v>
                </c:pt>
                <c:pt idx="52">
                  <c:v>60</c:v>
                </c:pt>
                <c:pt idx="53">
                  <c:v>60</c:v>
                </c:pt>
                <c:pt idx="54">
                  <c:v>60</c:v>
                </c:pt>
                <c:pt idx="55">
                  <c:v>60</c:v>
                </c:pt>
                <c:pt idx="56">
                  <c:v>60</c:v>
                </c:pt>
                <c:pt idx="57">
                  <c:v>60</c:v>
                </c:pt>
                <c:pt idx="58">
                  <c:v>60</c:v>
                </c:pt>
                <c:pt idx="59">
                  <c:v>60</c:v>
                </c:pt>
                <c:pt idx="60">
                  <c:v>60</c:v>
                </c:pt>
                <c:pt idx="61">
                  <c:v>60</c:v>
                </c:pt>
                <c:pt idx="62">
                  <c:v>60</c:v>
                </c:pt>
                <c:pt idx="63">
                  <c:v>60</c:v>
                </c:pt>
                <c:pt idx="64">
                  <c:v>60</c:v>
                </c:pt>
                <c:pt idx="65">
                  <c:v>60</c:v>
                </c:pt>
                <c:pt idx="66">
                  <c:v>60</c:v>
                </c:pt>
                <c:pt idx="67">
                  <c:v>60</c:v>
                </c:pt>
                <c:pt idx="68">
                  <c:v>60</c:v>
                </c:pt>
                <c:pt idx="69">
                  <c:v>60</c:v>
                </c:pt>
                <c:pt idx="70">
                  <c:v>60</c:v>
                </c:pt>
                <c:pt idx="71">
                  <c:v>60</c:v>
                </c:pt>
                <c:pt idx="72">
                  <c:v>60</c:v>
                </c:pt>
                <c:pt idx="73">
                  <c:v>60</c:v>
                </c:pt>
                <c:pt idx="74">
                  <c:v>60</c:v>
                </c:pt>
                <c:pt idx="75">
                  <c:v>60</c:v>
                </c:pt>
                <c:pt idx="76">
                  <c:v>60</c:v>
                </c:pt>
                <c:pt idx="77">
                  <c:v>60</c:v>
                </c:pt>
                <c:pt idx="78">
                  <c:v>60</c:v>
                </c:pt>
                <c:pt idx="79">
                  <c:v>60</c:v>
                </c:pt>
                <c:pt idx="80">
                  <c:v>72</c:v>
                </c:pt>
                <c:pt idx="81">
                  <c:v>72</c:v>
                </c:pt>
                <c:pt idx="82">
                  <c:v>72</c:v>
                </c:pt>
                <c:pt idx="83">
                  <c:v>72</c:v>
                </c:pt>
                <c:pt idx="84">
                  <c:v>72</c:v>
                </c:pt>
                <c:pt idx="85">
                  <c:v>72</c:v>
                </c:pt>
                <c:pt idx="86">
                  <c:v>72</c:v>
                </c:pt>
                <c:pt idx="87">
                  <c:v>72</c:v>
                </c:pt>
                <c:pt idx="88">
                  <c:v>72</c:v>
                </c:pt>
                <c:pt idx="89">
                  <c:v>72</c:v>
                </c:pt>
                <c:pt idx="90">
                  <c:v>72</c:v>
                </c:pt>
                <c:pt idx="91">
                  <c:v>72</c:v>
                </c:pt>
                <c:pt idx="92">
                  <c:v>72</c:v>
                </c:pt>
                <c:pt idx="93">
                  <c:v>72</c:v>
                </c:pt>
                <c:pt idx="94">
                  <c:v>72</c:v>
                </c:pt>
                <c:pt idx="95">
                  <c:v>72</c:v>
                </c:pt>
                <c:pt idx="96">
                  <c:v>72</c:v>
                </c:pt>
                <c:pt idx="97">
                  <c:v>72</c:v>
                </c:pt>
                <c:pt idx="98">
                  <c:v>72</c:v>
                </c:pt>
                <c:pt idx="99">
                  <c:v>72</c:v>
                </c:pt>
                <c:pt idx="100">
                  <c:v>72</c:v>
                </c:pt>
                <c:pt idx="101">
                  <c:v>72</c:v>
                </c:pt>
                <c:pt idx="102">
                  <c:v>72</c:v>
                </c:pt>
                <c:pt idx="103">
                  <c:v>72</c:v>
                </c:pt>
                <c:pt idx="104">
                  <c:v>72</c:v>
                </c:pt>
                <c:pt idx="105">
                  <c:v>72</c:v>
                </c:pt>
                <c:pt idx="106">
                  <c:v>72</c:v>
                </c:pt>
                <c:pt idx="107">
                  <c:v>72</c:v>
                </c:pt>
                <c:pt idx="108">
                  <c:v>72</c:v>
                </c:pt>
                <c:pt idx="109">
                  <c:v>72</c:v>
                </c:pt>
                <c:pt idx="110">
                  <c:v>72</c:v>
                </c:pt>
                <c:pt idx="111">
                  <c:v>72</c:v>
                </c:pt>
                <c:pt idx="112">
                  <c:v>72</c:v>
                </c:pt>
                <c:pt idx="113">
                  <c:v>72</c:v>
                </c:pt>
                <c:pt idx="114">
                  <c:v>72</c:v>
                </c:pt>
                <c:pt idx="115">
                  <c:v>72</c:v>
                </c:pt>
                <c:pt idx="116">
                  <c:v>72</c:v>
                </c:pt>
                <c:pt idx="117">
                  <c:v>72</c:v>
                </c:pt>
                <c:pt idx="118">
                  <c:v>72</c:v>
                </c:pt>
                <c:pt idx="119">
                  <c:v>72</c:v>
                </c:pt>
                <c:pt idx="120">
                  <c:v>72</c:v>
                </c:pt>
                <c:pt idx="121">
                  <c:v>72</c:v>
                </c:pt>
                <c:pt idx="122">
                  <c:v>72</c:v>
                </c:pt>
                <c:pt idx="123">
                  <c:v>72</c:v>
                </c:pt>
                <c:pt idx="124">
                  <c:v>72</c:v>
                </c:pt>
                <c:pt idx="125">
                  <c:v>72</c:v>
                </c:pt>
                <c:pt idx="126">
                  <c:v>60</c:v>
                </c:pt>
                <c:pt idx="127">
                  <c:v>60</c:v>
                </c:pt>
                <c:pt idx="128">
                  <c:v>60</c:v>
                </c:pt>
                <c:pt idx="129">
                  <c:v>60</c:v>
                </c:pt>
                <c:pt idx="130">
                  <c:v>60</c:v>
                </c:pt>
                <c:pt idx="131">
                  <c:v>60</c:v>
                </c:pt>
                <c:pt idx="132">
                  <c:v>60</c:v>
                </c:pt>
                <c:pt idx="133">
                  <c:v>60</c:v>
                </c:pt>
                <c:pt idx="134">
                  <c:v>60</c:v>
                </c:pt>
                <c:pt idx="135">
                  <c:v>60</c:v>
                </c:pt>
                <c:pt idx="136">
                  <c:v>60</c:v>
                </c:pt>
                <c:pt idx="137">
                  <c:v>60</c:v>
                </c:pt>
                <c:pt idx="138">
                  <c:v>60</c:v>
                </c:pt>
                <c:pt idx="139">
                  <c:v>60</c:v>
                </c:pt>
                <c:pt idx="140">
                  <c:v>60</c:v>
                </c:pt>
                <c:pt idx="141">
                  <c:v>60</c:v>
                </c:pt>
                <c:pt idx="142">
                  <c:v>60</c:v>
                </c:pt>
                <c:pt idx="143">
                  <c:v>60</c:v>
                </c:pt>
                <c:pt idx="144">
                  <c:v>60</c:v>
                </c:pt>
                <c:pt idx="145">
                  <c:v>60</c:v>
                </c:pt>
                <c:pt idx="146">
                  <c:v>60</c:v>
                </c:pt>
                <c:pt idx="147">
                  <c:v>60</c:v>
                </c:pt>
                <c:pt idx="148">
                  <c:v>60</c:v>
                </c:pt>
                <c:pt idx="149">
                  <c:v>60</c:v>
                </c:pt>
                <c:pt idx="150">
                  <c:v>60</c:v>
                </c:pt>
                <c:pt idx="151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CB5-48DF-8D27-7D124473B5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129472"/>
        <c:axId val="72096512"/>
      </c:lineChart>
      <c:scatterChart>
        <c:scatterStyle val="lineMarker"/>
        <c:varyColors val="0"/>
        <c:ser>
          <c:idx val="3"/>
          <c:order val="4"/>
          <c:tx>
            <c:strRef>
              <c:f>'ET - SGR'!$D$1</c:f>
              <c:strCache>
                <c:ptCount val="1"/>
                <c:pt idx="0">
                  <c:v>Lluvia (mm)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4"/>
              </a:solidFill>
            </c:spPr>
          </c:marker>
          <c:xVal>
            <c:numRef>
              <c:f>'ET - SGR'!$A$2:$A$153</c:f>
              <c:numCache>
                <c:formatCode>d\-mmm</c:formatCode>
                <c:ptCount val="152"/>
                <c:pt idx="0">
                  <c:v>45917</c:v>
                </c:pt>
                <c:pt idx="1">
                  <c:v>45918</c:v>
                </c:pt>
                <c:pt idx="2">
                  <c:v>45919</c:v>
                </c:pt>
                <c:pt idx="3">
                  <c:v>45920</c:v>
                </c:pt>
                <c:pt idx="4">
                  <c:v>45921</c:v>
                </c:pt>
                <c:pt idx="5">
                  <c:v>45922</c:v>
                </c:pt>
                <c:pt idx="6">
                  <c:v>45923</c:v>
                </c:pt>
                <c:pt idx="7">
                  <c:v>45924</c:v>
                </c:pt>
                <c:pt idx="8">
                  <c:v>45925</c:v>
                </c:pt>
                <c:pt idx="9">
                  <c:v>45926</c:v>
                </c:pt>
                <c:pt idx="10">
                  <c:v>45927</c:v>
                </c:pt>
                <c:pt idx="11">
                  <c:v>45928</c:v>
                </c:pt>
                <c:pt idx="12">
                  <c:v>45929</c:v>
                </c:pt>
                <c:pt idx="13">
                  <c:v>45930</c:v>
                </c:pt>
                <c:pt idx="14">
                  <c:v>45931</c:v>
                </c:pt>
                <c:pt idx="15">
                  <c:v>45932</c:v>
                </c:pt>
                <c:pt idx="16">
                  <c:v>45933</c:v>
                </c:pt>
                <c:pt idx="17">
                  <c:v>45934</c:v>
                </c:pt>
                <c:pt idx="18">
                  <c:v>45935</c:v>
                </c:pt>
                <c:pt idx="19">
                  <c:v>45936</c:v>
                </c:pt>
                <c:pt idx="20">
                  <c:v>45937</c:v>
                </c:pt>
                <c:pt idx="21">
                  <c:v>45938</c:v>
                </c:pt>
                <c:pt idx="22">
                  <c:v>45939</c:v>
                </c:pt>
                <c:pt idx="23">
                  <c:v>45940</c:v>
                </c:pt>
                <c:pt idx="24">
                  <c:v>45941</c:v>
                </c:pt>
                <c:pt idx="25">
                  <c:v>45942</c:v>
                </c:pt>
                <c:pt idx="26">
                  <c:v>45943</c:v>
                </c:pt>
                <c:pt idx="27">
                  <c:v>45944</c:v>
                </c:pt>
                <c:pt idx="28">
                  <c:v>45945</c:v>
                </c:pt>
                <c:pt idx="29">
                  <c:v>45946</c:v>
                </c:pt>
                <c:pt idx="30">
                  <c:v>45947</c:v>
                </c:pt>
                <c:pt idx="31">
                  <c:v>45948</c:v>
                </c:pt>
                <c:pt idx="32">
                  <c:v>45949</c:v>
                </c:pt>
                <c:pt idx="33">
                  <c:v>45950</c:v>
                </c:pt>
                <c:pt idx="34">
                  <c:v>45951</c:v>
                </c:pt>
                <c:pt idx="35">
                  <c:v>45952</c:v>
                </c:pt>
                <c:pt idx="36">
                  <c:v>45953</c:v>
                </c:pt>
                <c:pt idx="37">
                  <c:v>45954</c:v>
                </c:pt>
                <c:pt idx="38">
                  <c:v>45955</c:v>
                </c:pt>
                <c:pt idx="39">
                  <c:v>45956</c:v>
                </c:pt>
                <c:pt idx="40">
                  <c:v>45957</c:v>
                </c:pt>
                <c:pt idx="41">
                  <c:v>45958</c:v>
                </c:pt>
                <c:pt idx="42">
                  <c:v>45959</c:v>
                </c:pt>
                <c:pt idx="43">
                  <c:v>45960</c:v>
                </c:pt>
                <c:pt idx="44">
                  <c:v>45961</c:v>
                </c:pt>
                <c:pt idx="45">
                  <c:v>45962</c:v>
                </c:pt>
                <c:pt idx="46">
                  <c:v>45963</c:v>
                </c:pt>
                <c:pt idx="47">
                  <c:v>45964</c:v>
                </c:pt>
                <c:pt idx="48">
                  <c:v>45965</c:v>
                </c:pt>
                <c:pt idx="49">
                  <c:v>45966</c:v>
                </c:pt>
                <c:pt idx="50">
                  <c:v>45967</c:v>
                </c:pt>
                <c:pt idx="51">
                  <c:v>45968</c:v>
                </c:pt>
                <c:pt idx="52">
                  <c:v>45969</c:v>
                </c:pt>
                <c:pt idx="53">
                  <c:v>45970</c:v>
                </c:pt>
                <c:pt idx="54">
                  <c:v>45971</c:v>
                </c:pt>
                <c:pt idx="55">
                  <c:v>45972</c:v>
                </c:pt>
                <c:pt idx="56">
                  <c:v>45973</c:v>
                </c:pt>
                <c:pt idx="57">
                  <c:v>45974</c:v>
                </c:pt>
                <c:pt idx="58">
                  <c:v>45975</c:v>
                </c:pt>
                <c:pt idx="59">
                  <c:v>45976</c:v>
                </c:pt>
                <c:pt idx="60">
                  <c:v>45977</c:v>
                </c:pt>
                <c:pt idx="61">
                  <c:v>45978</c:v>
                </c:pt>
                <c:pt idx="62">
                  <c:v>45979</c:v>
                </c:pt>
                <c:pt idx="63">
                  <c:v>45980</c:v>
                </c:pt>
                <c:pt idx="64">
                  <c:v>45981</c:v>
                </c:pt>
                <c:pt idx="65">
                  <c:v>45982</c:v>
                </c:pt>
                <c:pt idx="66">
                  <c:v>45983</c:v>
                </c:pt>
                <c:pt idx="67">
                  <c:v>45984</c:v>
                </c:pt>
                <c:pt idx="68">
                  <c:v>45985</c:v>
                </c:pt>
                <c:pt idx="69">
                  <c:v>45986</c:v>
                </c:pt>
                <c:pt idx="70">
                  <c:v>45987</c:v>
                </c:pt>
                <c:pt idx="71">
                  <c:v>45988</c:v>
                </c:pt>
                <c:pt idx="72">
                  <c:v>45989</c:v>
                </c:pt>
                <c:pt idx="73">
                  <c:v>45990</c:v>
                </c:pt>
                <c:pt idx="74">
                  <c:v>45991</c:v>
                </c:pt>
                <c:pt idx="75">
                  <c:v>45992</c:v>
                </c:pt>
                <c:pt idx="76">
                  <c:v>45993</c:v>
                </c:pt>
                <c:pt idx="77">
                  <c:v>45994</c:v>
                </c:pt>
                <c:pt idx="78">
                  <c:v>45995</c:v>
                </c:pt>
                <c:pt idx="79">
                  <c:v>45996</c:v>
                </c:pt>
                <c:pt idx="80">
                  <c:v>45997</c:v>
                </c:pt>
                <c:pt idx="81">
                  <c:v>45998</c:v>
                </c:pt>
                <c:pt idx="82">
                  <c:v>45999</c:v>
                </c:pt>
                <c:pt idx="83">
                  <c:v>46000</c:v>
                </c:pt>
                <c:pt idx="84">
                  <c:v>46001</c:v>
                </c:pt>
                <c:pt idx="85">
                  <c:v>46002</c:v>
                </c:pt>
                <c:pt idx="86">
                  <c:v>46003</c:v>
                </c:pt>
                <c:pt idx="87">
                  <c:v>46004</c:v>
                </c:pt>
                <c:pt idx="88">
                  <c:v>46005</c:v>
                </c:pt>
                <c:pt idx="89">
                  <c:v>46006</c:v>
                </c:pt>
                <c:pt idx="90">
                  <c:v>46007</c:v>
                </c:pt>
                <c:pt idx="91">
                  <c:v>46008</c:v>
                </c:pt>
                <c:pt idx="92">
                  <c:v>46009</c:v>
                </c:pt>
                <c:pt idx="93">
                  <c:v>46010</c:v>
                </c:pt>
                <c:pt idx="94">
                  <c:v>46011</c:v>
                </c:pt>
                <c:pt idx="95">
                  <c:v>46012</c:v>
                </c:pt>
                <c:pt idx="96">
                  <c:v>46013</c:v>
                </c:pt>
                <c:pt idx="97">
                  <c:v>46014</c:v>
                </c:pt>
                <c:pt idx="98">
                  <c:v>46015</c:v>
                </c:pt>
                <c:pt idx="99">
                  <c:v>46016</c:v>
                </c:pt>
                <c:pt idx="100">
                  <c:v>46017</c:v>
                </c:pt>
                <c:pt idx="101">
                  <c:v>46018</c:v>
                </c:pt>
                <c:pt idx="102">
                  <c:v>46019</c:v>
                </c:pt>
                <c:pt idx="103">
                  <c:v>46020</c:v>
                </c:pt>
                <c:pt idx="104">
                  <c:v>46021</c:v>
                </c:pt>
                <c:pt idx="105">
                  <c:v>46022</c:v>
                </c:pt>
                <c:pt idx="106">
                  <c:v>46023</c:v>
                </c:pt>
                <c:pt idx="107">
                  <c:v>46024</c:v>
                </c:pt>
                <c:pt idx="108">
                  <c:v>46025</c:v>
                </c:pt>
                <c:pt idx="109">
                  <c:v>46026</c:v>
                </c:pt>
                <c:pt idx="110">
                  <c:v>46027</c:v>
                </c:pt>
                <c:pt idx="111">
                  <c:v>46028</c:v>
                </c:pt>
                <c:pt idx="112">
                  <c:v>46029</c:v>
                </c:pt>
                <c:pt idx="113">
                  <c:v>46030</c:v>
                </c:pt>
                <c:pt idx="114">
                  <c:v>46031</c:v>
                </c:pt>
                <c:pt idx="115">
                  <c:v>46032</c:v>
                </c:pt>
                <c:pt idx="116">
                  <c:v>46033</c:v>
                </c:pt>
                <c:pt idx="117">
                  <c:v>46034</c:v>
                </c:pt>
                <c:pt idx="118">
                  <c:v>46035</c:v>
                </c:pt>
                <c:pt idx="119">
                  <c:v>46036</c:v>
                </c:pt>
                <c:pt idx="120">
                  <c:v>46037</c:v>
                </c:pt>
                <c:pt idx="121">
                  <c:v>46038</c:v>
                </c:pt>
                <c:pt idx="122">
                  <c:v>46039</c:v>
                </c:pt>
                <c:pt idx="123">
                  <c:v>46040</c:v>
                </c:pt>
                <c:pt idx="124">
                  <c:v>46041</c:v>
                </c:pt>
                <c:pt idx="125">
                  <c:v>46042</c:v>
                </c:pt>
                <c:pt idx="126">
                  <c:v>46043</c:v>
                </c:pt>
                <c:pt idx="127">
                  <c:v>46044</c:v>
                </c:pt>
                <c:pt idx="128">
                  <c:v>46045</c:v>
                </c:pt>
                <c:pt idx="129">
                  <c:v>46046</c:v>
                </c:pt>
                <c:pt idx="130">
                  <c:v>46047</c:v>
                </c:pt>
                <c:pt idx="131">
                  <c:v>46048</c:v>
                </c:pt>
                <c:pt idx="132">
                  <c:v>46049</c:v>
                </c:pt>
                <c:pt idx="133">
                  <c:v>46050</c:v>
                </c:pt>
                <c:pt idx="134">
                  <c:v>46051</c:v>
                </c:pt>
                <c:pt idx="135">
                  <c:v>46052</c:v>
                </c:pt>
                <c:pt idx="136">
                  <c:v>46053</c:v>
                </c:pt>
                <c:pt idx="137">
                  <c:v>46054</c:v>
                </c:pt>
                <c:pt idx="138">
                  <c:v>46055</c:v>
                </c:pt>
                <c:pt idx="139">
                  <c:v>46056</c:v>
                </c:pt>
                <c:pt idx="140">
                  <c:v>46057</c:v>
                </c:pt>
                <c:pt idx="141">
                  <c:v>46058</c:v>
                </c:pt>
                <c:pt idx="142">
                  <c:v>46059</c:v>
                </c:pt>
                <c:pt idx="143">
                  <c:v>46060</c:v>
                </c:pt>
                <c:pt idx="144">
                  <c:v>46061</c:v>
                </c:pt>
                <c:pt idx="145">
                  <c:v>46062</c:v>
                </c:pt>
                <c:pt idx="146">
                  <c:v>46063</c:v>
                </c:pt>
                <c:pt idx="147">
                  <c:v>46064</c:v>
                </c:pt>
                <c:pt idx="148">
                  <c:v>46065</c:v>
                </c:pt>
                <c:pt idx="149">
                  <c:v>46066</c:v>
                </c:pt>
                <c:pt idx="150">
                  <c:v>46067</c:v>
                </c:pt>
                <c:pt idx="151">
                  <c:v>46068</c:v>
                </c:pt>
              </c:numCache>
            </c:numRef>
          </c:xVal>
          <c:yVal>
            <c:numRef>
              <c:f>'ET - SGR'!$D$2:$D$153</c:f>
              <c:numCache>
                <c:formatCode>General</c:formatCode>
                <c:ptCount val="152"/>
                <c:pt idx="4">
                  <c:v>22</c:v>
                </c:pt>
                <c:pt idx="18">
                  <c:v>32</c:v>
                </c:pt>
                <c:pt idx="37">
                  <c:v>65</c:v>
                </c:pt>
                <c:pt idx="51">
                  <c:v>40</c:v>
                </c:pt>
                <c:pt idx="56">
                  <c:v>10</c:v>
                </c:pt>
                <c:pt idx="59">
                  <c:v>30</c:v>
                </c:pt>
                <c:pt idx="60">
                  <c:v>7</c:v>
                </c:pt>
                <c:pt idx="64">
                  <c:v>13</c:v>
                </c:pt>
                <c:pt idx="75">
                  <c:v>5</c:v>
                </c:pt>
                <c:pt idx="95">
                  <c:v>29</c:v>
                </c:pt>
                <c:pt idx="120">
                  <c:v>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6C4-420C-BEE3-C931B32DE1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129472"/>
        <c:axId val="72096512"/>
      </c:scatterChart>
      <c:dateAx>
        <c:axId val="73129472"/>
        <c:scaling>
          <c:orientation val="minMax"/>
        </c:scaling>
        <c:delete val="0"/>
        <c:axPos val="b"/>
        <c:majorGridlines>
          <c:spPr>
            <a:ln>
              <a:gradFill>
                <a:gsLst>
                  <a:gs pos="62900">
                    <a:srgbClr val="CAD7EF"/>
                  </a:gs>
                  <a:gs pos="0">
                    <a:schemeClr val="accent1">
                      <a:tint val="66000"/>
                      <a:satMod val="160000"/>
                    </a:schemeClr>
                  </a:gs>
                  <a:gs pos="50000">
                    <a:schemeClr val="accent1">
                      <a:tint val="44500"/>
                      <a:satMod val="160000"/>
                    </a:schemeClr>
                  </a:gs>
                  <a:gs pos="100000">
                    <a:schemeClr val="accent1">
                      <a:tint val="23500"/>
                      <a:satMod val="160000"/>
                    </a:schemeClr>
                  </a:gs>
                </a:gsLst>
                <a:lin ang="5400000" scaled="0"/>
              </a:gradFill>
            </a:ln>
          </c:spPr>
        </c:majorGridlines>
        <c:numFmt formatCode="d\-mmm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900"/>
            </a:pPr>
            <a:endParaRPr lang="en-US"/>
          </a:p>
        </c:txPr>
        <c:crossAx val="72096512"/>
        <c:crossesAt val="0"/>
        <c:auto val="0"/>
        <c:lblOffset val="100"/>
        <c:baseTimeUnit val="days"/>
        <c:majorUnit val="7"/>
        <c:majorTimeUnit val="days"/>
      </c:dateAx>
      <c:valAx>
        <c:axId val="72096512"/>
        <c:scaling>
          <c:orientation val="minMax"/>
          <c:max val="140"/>
          <c:min val="0"/>
        </c:scaling>
        <c:delete val="0"/>
        <c:axPos val="l"/>
        <c:majorGridlines/>
        <c:minorGridlines>
          <c:spPr>
            <a:effectLst>
              <a:outerShdw blurRad="50800" dist="50800" dir="5400000" algn="ctr" rotWithShape="0">
                <a:schemeClr val="tx2">
                  <a:lumMod val="20000"/>
                  <a:lumOff val="80000"/>
                </a:schemeClr>
              </a:outerShdw>
            </a:effectLst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s-AR"/>
                  <a:t>Milímetros</a:t>
                </a:r>
              </a:p>
            </c:rich>
          </c:tx>
          <c:layout>
            <c:manualLayout>
              <c:xMode val="edge"/>
              <c:yMode val="edge"/>
              <c:x val="1.3882164377109851E-2"/>
              <c:y val="0.35599188872577364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73129472"/>
        <c:crosses val="autoZero"/>
        <c:crossBetween val="between"/>
        <c:majorUnit val="20"/>
        <c:minorUnit val="5"/>
      </c:valAx>
    </c:plotArea>
    <c:legend>
      <c:legendPos val="t"/>
      <c:layout>
        <c:manualLayout>
          <c:xMode val="edge"/>
          <c:yMode val="edge"/>
          <c:x val="0.17272677301796155"/>
          <c:y val="6.2170618503195572E-2"/>
          <c:w val="0.64950657894736841"/>
          <c:h val="6.61462962962963E-2"/>
        </c:manualLayout>
      </c:layout>
      <c:overlay val="0"/>
      <c:txPr>
        <a:bodyPr/>
        <a:lstStyle/>
        <a:p>
          <a:pPr>
            <a:defRPr sz="900"/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AR"/>
              <a:t>Balance Hídrico Los Biondos</a:t>
            </a:r>
          </a:p>
          <a:p>
            <a:pPr>
              <a:defRPr/>
            </a:pPr>
            <a:r>
              <a:rPr lang="es-AR"/>
              <a:t>P1-TM / Trigo / 2024-25</a:t>
            </a:r>
          </a:p>
          <a:p>
            <a:pPr>
              <a:defRPr/>
            </a:pPr>
            <a:r>
              <a:rPr lang="es-AR" sz="1800" b="1" i="0" u="none" strike="noStrike" baseline="0">
                <a:solidFill>
                  <a:srgbClr val="00B0F0"/>
                </a:solidFill>
                <a:effectLst/>
              </a:rPr>
              <a:t>Riego mm                                                           </a:t>
            </a:r>
            <a:r>
              <a:rPr lang="es-AR" sz="1800" b="1" i="0" u="none" strike="noStrike" baseline="0">
                <a:solidFill>
                  <a:srgbClr val="00B050"/>
                </a:solidFill>
                <a:effectLst/>
              </a:rPr>
              <a:t>Rinde maiz  qq</a:t>
            </a:r>
            <a:endParaRPr lang="es-AR">
              <a:solidFill>
                <a:srgbClr val="00B050"/>
              </a:solidFill>
            </a:endParaRP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015807586181083"/>
          <c:y val="0.14569861510470347"/>
          <c:w val="0.74494468708077499"/>
          <c:h val="0.73430546734225532"/>
        </c:manualLayout>
      </c:layout>
      <c:barChart>
        <c:barDir val="col"/>
        <c:grouping val="clustered"/>
        <c:varyColors val="0"/>
        <c:ser>
          <c:idx val="2"/>
          <c:order val="3"/>
          <c:tx>
            <c:v>Riegos</c:v>
          </c:tx>
          <c:invertIfNegative val="0"/>
          <c:cat>
            <c:numRef>
              <c:f>#REF!</c:f>
            </c:num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AE-4F57-8155-FC117A1AA1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3129472"/>
        <c:axId val="72096512"/>
      </c:barChart>
      <c:lineChart>
        <c:grouping val="standard"/>
        <c:varyColors val="0"/>
        <c:ser>
          <c:idx val="11"/>
          <c:order val="0"/>
          <c:tx>
            <c:v>Sin Riego</c:v>
          </c:tx>
          <c:spPr>
            <a:ln>
              <a:solidFill>
                <a:srgbClr val="FF0000">
                  <a:alpha val="77000"/>
                </a:srgbClr>
              </a:solidFill>
            </a:ln>
          </c:spPr>
          <c:marker>
            <c:symbol val="none"/>
          </c:marker>
          <c:cat>
            <c:numRef>
              <c:f>#REF!</c:f>
            </c:numRef>
          </c:cat>
          <c:val>
            <c:numRef>
              <c:f>'[1]Pt 8 (Sin riego)'!$K$2:$K$127</c:f>
              <c:numCache>
                <c:formatCode>General</c:formatCode>
                <c:ptCount val="126"/>
                <c:pt idx="0">
                  <c:v>124.78</c:v>
                </c:pt>
                <c:pt idx="1">
                  <c:v>124.43</c:v>
                </c:pt>
                <c:pt idx="2">
                  <c:v>124.22000000000001</c:v>
                </c:pt>
                <c:pt idx="3">
                  <c:v>123.82000000000001</c:v>
                </c:pt>
                <c:pt idx="4">
                  <c:v>123.58000000000001</c:v>
                </c:pt>
                <c:pt idx="5">
                  <c:v>123.48000000000002</c:v>
                </c:pt>
                <c:pt idx="6">
                  <c:v>122.28000000000002</c:v>
                </c:pt>
                <c:pt idx="7">
                  <c:v>121.08000000000001</c:v>
                </c:pt>
                <c:pt idx="8">
                  <c:v>125</c:v>
                </c:pt>
                <c:pt idx="9">
                  <c:v>124.9375</c:v>
                </c:pt>
                <c:pt idx="10">
                  <c:v>124.5625</c:v>
                </c:pt>
                <c:pt idx="11">
                  <c:v>124.03749999999999</c:v>
                </c:pt>
                <c:pt idx="12">
                  <c:v>122.89</c:v>
                </c:pt>
                <c:pt idx="13">
                  <c:v>121.84</c:v>
                </c:pt>
                <c:pt idx="14">
                  <c:v>121.42750000000001</c:v>
                </c:pt>
                <c:pt idx="15">
                  <c:v>119.85250000000001</c:v>
                </c:pt>
                <c:pt idx="16">
                  <c:v>118.13650000000001</c:v>
                </c:pt>
                <c:pt idx="17">
                  <c:v>117.92150000000001</c:v>
                </c:pt>
                <c:pt idx="18">
                  <c:v>116.39150000000001</c:v>
                </c:pt>
                <c:pt idx="19">
                  <c:v>114.51150000000001</c:v>
                </c:pt>
                <c:pt idx="20">
                  <c:v>125</c:v>
                </c:pt>
                <c:pt idx="21">
                  <c:v>121.991</c:v>
                </c:pt>
                <c:pt idx="22">
                  <c:v>121.193</c:v>
                </c:pt>
                <c:pt idx="23">
                  <c:v>120.563</c:v>
                </c:pt>
                <c:pt idx="24">
                  <c:v>118.42100000000001</c:v>
                </c:pt>
                <c:pt idx="25">
                  <c:v>117.3185</c:v>
                </c:pt>
                <c:pt idx="26">
                  <c:v>115.6935</c:v>
                </c:pt>
                <c:pt idx="27">
                  <c:v>113.21850000000001</c:v>
                </c:pt>
                <c:pt idx="28">
                  <c:v>109.86850000000001</c:v>
                </c:pt>
                <c:pt idx="29">
                  <c:v>106.46850000000001</c:v>
                </c:pt>
                <c:pt idx="30">
                  <c:v>102.2595</c:v>
                </c:pt>
                <c:pt idx="31">
                  <c:v>98.479500000000002</c:v>
                </c:pt>
                <c:pt idx="32">
                  <c:v>94.787500000000009</c:v>
                </c:pt>
                <c:pt idx="33">
                  <c:v>91.331500000000005</c:v>
                </c:pt>
                <c:pt idx="34">
                  <c:v>90.455500000000001</c:v>
                </c:pt>
                <c:pt idx="35">
                  <c:v>87.495500000000007</c:v>
                </c:pt>
                <c:pt idx="36">
                  <c:v>84.420500000000004</c:v>
                </c:pt>
                <c:pt idx="37">
                  <c:v>80.468500000000006</c:v>
                </c:pt>
                <c:pt idx="38">
                  <c:v>75.9255</c:v>
                </c:pt>
                <c:pt idx="39">
                  <c:v>71.245499999999993</c:v>
                </c:pt>
                <c:pt idx="40">
                  <c:v>66.505499999999998</c:v>
                </c:pt>
                <c:pt idx="41">
                  <c:v>61.305499999999995</c:v>
                </c:pt>
                <c:pt idx="42">
                  <c:v>57.255499999999998</c:v>
                </c:pt>
                <c:pt idx="43">
                  <c:v>52.7455</c:v>
                </c:pt>
                <c:pt idx="44">
                  <c:v>49.7575</c:v>
                </c:pt>
                <c:pt idx="45">
                  <c:v>47.237499999999997</c:v>
                </c:pt>
                <c:pt idx="46">
                  <c:v>42.817499999999995</c:v>
                </c:pt>
                <c:pt idx="47">
                  <c:v>38.345499999999994</c:v>
                </c:pt>
                <c:pt idx="48">
                  <c:v>35.735499999999995</c:v>
                </c:pt>
                <c:pt idx="49">
                  <c:v>32.765499999999996</c:v>
                </c:pt>
                <c:pt idx="50">
                  <c:v>30.965499999999995</c:v>
                </c:pt>
                <c:pt idx="51">
                  <c:v>27.185499999999994</c:v>
                </c:pt>
                <c:pt idx="52">
                  <c:v>25.835499999999993</c:v>
                </c:pt>
                <c:pt idx="53">
                  <c:v>20.43549999999999</c:v>
                </c:pt>
                <c:pt idx="54">
                  <c:v>15.215499999999992</c:v>
                </c:pt>
                <c:pt idx="55">
                  <c:v>9.6354999999999915</c:v>
                </c:pt>
                <c:pt idx="56">
                  <c:v>5.5504999999999916</c:v>
                </c:pt>
                <c:pt idx="57">
                  <c:v>0.99049999999999194</c:v>
                </c:pt>
                <c:pt idx="58">
                  <c:v>27.090499999999992</c:v>
                </c:pt>
                <c:pt idx="59">
                  <c:v>23.67049999999999</c:v>
                </c:pt>
                <c:pt idx="60">
                  <c:v>18.445499999999988</c:v>
                </c:pt>
                <c:pt idx="61">
                  <c:v>14.365499999999988</c:v>
                </c:pt>
                <c:pt idx="62">
                  <c:v>28.965499999999992</c:v>
                </c:pt>
                <c:pt idx="63">
                  <c:v>27.765499999999992</c:v>
                </c:pt>
                <c:pt idx="64">
                  <c:v>25.485499999999991</c:v>
                </c:pt>
                <c:pt idx="65">
                  <c:v>23.68549999999999</c:v>
                </c:pt>
                <c:pt idx="66">
                  <c:v>20.085499999999989</c:v>
                </c:pt>
                <c:pt idx="67">
                  <c:v>24.485499999999988</c:v>
                </c:pt>
                <c:pt idx="68">
                  <c:v>21.005499999999987</c:v>
                </c:pt>
                <c:pt idx="69">
                  <c:v>16.945499999999988</c:v>
                </c:pt>
                <c:pt idx="70">
                  <c:v>12.745499999999989</c:v>
                </c:pt>
                <c:pt idx="71">
                  <c:v>7.9454999999999885</c:v>
                </c:pt>
                <c:pt idx="72">
                  <c:v>5.465499999999988</c:v>
                </c:pt>
                <c:pt idx="73">
                  <c:v>3.7054999999999878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47.2</c:v>
                </c:pt>
                <c:pt idx="84">
                  <c:v>54.400000000000006</c:v>
                </c:pt>
                <c:pt idx="85">
                  <c:v>47.56</c:v>
                </c:pt>
                <c:pt idx="86">
                  <c:v>40.36</c:v>
                </c:pt>
                <c:pt idx="87">
                  <c:v>63</c:v>
                </c:pt>
                <c:pt idx="88">
                  <c:v>56.33</c:v>
                </c:pt>
                <c:pt idx="89">
                  <c:v>48.625</c:v>
                </c:pt>
                <c:pt idx="90">
                  <c:v>42.875</c:v>
                </c:pt>
                <c:pt idx="91">
                  <c:v>36.549999999999997</c:v>
                </c:pt>
                <c:pt idx="92">
                  <c:v>31.374999999999996</c:v>
                </c:pt>
                <c:pt idx="93">
                  <c:v>32.674999999999997</c:v>
                </c:pt>
                <c:pt idx="94">
                  <c:v>30.474999999999998</c:v>
                </c:pt>
                <c:pt idx="95">
                  <c:v>24.974999999999998</c:v>
                </c:pt>
                <c:pt idx="96">
                  <c:v>23.074999999999999</c:v>
                </c:pt>
                <c:pt idx="97">
                  <c:v>96.705000000000013</c:v>
                </c:pt>
                <c:pt idx="98">
                  <c:v>91.18</c:v>
                </c:pt>
                <c:pt idx="99">
                  <c:v>85.580000000000013</c:v>
                </c:pt>
                <c:pt idx="100">
                  <c:v>80.105000000000018</c:v>
                </c:pt>
                <c:pt idx="101">
                  <c:v>76.555000000000021</c:v>
                </c:pt>
                <c:pt idx="102">
                  <c:v>73.055000000000021</c:v>
                </c:pt>
                <c:pt idx="103">
                  <c:v>69.053000000000026</c:v>
                </c:pt>
                <c:pt idx="104">
                  <c:v>67.353000000000023</c:v>
                </c:pt>
                <c:pt idx="105">
                  <c:v>63.46700000000002</c:v>
                </c:pt>
                <c:pt idx="106">
                  <c:v>59.441000000000017</c:v>
                </c:pt>
                <c:pt idx="107">
                  <c:v>57.491000000000014</c:v>
                </c:pt>
                <c:pt idx="108">
                  <c:v>54.046000000000014</c:v>
                </c:pt>
                <c:pt idx="109">
                  <c:v>51.186000000000014</c:v>
                </c:pt>
                <c:pt idx="110">
                  <c:v>49.691000000000017</c:v>
                </c:pt>
                <c:pt idx="111">
                  <c:v>46.896000000000015</c:v>
                </c:pt>
                <c:pt idx="112">
                  <c:v>43.516000000000012</c:v>
                </c:pt>
                <c:pt idx="113">
                  <c:v>40.555000000000014</c:v>
                </c:pt>
                <c:pt idx="114">
                  <c:v>37.931000000000012</c:v>
                </c:pt>
                <c:pt idx="115">
                  <c:v>34.515000000000015</c:v>
                </c:pt>
                <c:pt idx="116">
                  <c:v>30.855000000000015</c:v>
                </c:pt>
                <c:pt idx="117">
                  <c:v>27.775000000000013</c:v>
                </c:pt>
                <c:pt idx="118">
                  <c:v>26.556000000000012</c:v>
                </c:pt>
                <c:pt idx="119">
                  <c:v>25.106000000000012</c:v>
                </c:pt>
                <c:pt idx="120">
                  <c:v>23.414000000000012</c:v>
                </c:pt>
                <c:pt idx="121">
                  <c:v>21.614000000000011</c:v>
                </c:pt>
                <c:pt idx="122">
                  <c:v>19.654000000000011</c:v>
                </c:pt>
                <c:pt idx="123">
                  <c:v>17.33400000000001</c:v>
                </c:pt>
                <c:pt idx="124">
                  <c:v>15.45400000000001</c:v>
                </c:pt>
                <c:pt idx="125">
                  <c:v>14.414000000000009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AE-4F57-8155-FC117A1AA1D0}"/>
            </c:ext>
          </c:extLst>
        </c:ser>
        <c:ser>
          <c:idx val="0"/>
          <c:order val="1"/>
          <c:tx>
            <c:v>P1-TM</c:v>
          </c:tx>
          <c:marker>
            <c:symbol val="none"/>
          </c:marker>
          <c:cat>
            <c:numRef>
              <c:f>#REF!</c:f>
            </c:num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AE-4F57-8155-FC117A1AA1D0}"/>
            </c:ext>
          </c:extLst>
        </c:ser>
        <c:ser>
          <c:idx val="1"/>
          <c:order val="2"/>
          <c:tx>
            <c:v>Umbral</c:v>
          </c:tx>
          <c:marker>
            <c:symbol val="none"/>
          </c:marker>
          <c:cat>
            <c:numRef>
              <c:f>#REF!</c:f>
            </c:num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BAE-4F57-8155-FC117A1AA1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129472"/>
        <c:axId val="72096512"/>
      </c:lineChart>
      <c:dateAx>
        <c:axId val="73129472"/>
        <c:scaling>
          <c:orientation val="minMax"/>
        </c:scaling>
        <c:delete val="0"/>
        <c:axPos val="b"/>
        <c:majorGridlines>
          <c:spPr>
            <a:ln>
              <a:gradFill>
                <a:gsLst>
                  <a:gs pos="62900">
                    <a:srgbClr val="CAD7EF"/>
                  </a:gs>
                  <a:gs pos="0">
                    <a:schemeClr val="accent1">
                      <a:tint val="66000"/>
                      <a:satMod val="160000"/>
                    </a:schemeClr>
                  </a:gs>
                  <a:gs pos="50000">
                    <a:schemeClr val="accent1">
                      <a:tint val="44500"/>
                      <a:satMod val="160000"/>
                    </a:schemeClr>
                  </a:gs>
                  <a:gs pos="100000">
                    <a:schemeClr val="accent1">
                      <a:tint val="23500"/>
                      <a:satMod val="160000"/>
                    </a:schemeClr>
                  </a:gs>
                </a:gsLst>
                <a:lin ang="5400000" scaled="0"/>
              </a:gradFill>
            </a:ln>
          </c:spPr>
        </c:maj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s-AR" sz="1400"/>
                  <a:t>Fecha</a:t>
                </a:r>
              </a:p>
            </c:rich>
          </c:tx>
          <c:overlay val="0"/>
        </c:title>
        <c:numFmt formatCode="d\-mmm" sourceLinked="1"/>
        <c:majorTickMark val="none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72096512"/>
        <c:crossesAt val="0"/>
        <c:auto val="0"/>
        <c:lblOffset val="100"/>
        <c:baseTimeUnit val="days"/>
        <c:majorUnit val="5"/>
      </c:dateAx>
      <c:valAx>
        <c:axId val="72096512"/>
        <c:scaling>
          <c:orientation val="minMax"/>
        </c:scaling>
        <c:delete val="0"/>
        <c:axPos val="l"/>
        <c:majorGridlines/>
        <c:minorGridlines>
          <c:spPr>
            <a:effectLst>
              <a:outerShdw blurRad="50800" dist="50800" dir="5400000" algn="ctr" rotWithShape="0">
                <a:schemeClr val="tx2">
                  <a:lumMod val="20000"/>
                  <a:lumOff val="80000"/>
                </a:schemeClr>
              </a:outerShdw>
            </a:effectLst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s-AR" sz="1400"/>
                  <a:t>Milímetros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73129472"/>
        <c:crosses val="autoZero"/>
        <c:crossBetween val="between"/>
        <c:majorUnit val="10"/>
        <c:minorUnit val="5"/>
      </c:valAx>
    </c:plotArea>
    <c:legend>
      <c:legendPos val="r"/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</xdr:colOff>
      <xdr:row>11</xdr:row>
      <xdr:rowOff>68580</xdr:rowOff>
    </xdr:from>
    <xdr:to>
      <xdr:col>9</xdr:col>
      <xdr:colOff>640080</xdr:colOff>
      <xdr:row>26</xdr:row>
      <xdr:rowOff>68580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16583025" y="368754"/>
    <xdr:ext cx="9492615" cy="5361486"/>
    <xdr:graphicFrame macro="">
      <xdr:nvGraphicFramePr>
        <xdr:cNvPr id="2" name="1 Gráfico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45720" y="45720"/>
    <xdr:ext cx="6840000" cy="3312000"/>
    <xdr:graphicFrame macro="">
      <xdr:nvGraphicFramePr>
        <xdr:cNvPr id="2" name="1 Gráfico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86875" cy="4450080"/>
    <xdr:graphicFrame macro="">
      <xdr:nvGraphicFramePr>
        <xdr:cNvPr id="2" name="1 Gráfico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uario\Desktop\Nueva%20carpeta\Balance%20Hidrico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"/>
      <sheetName val="Gráf 7 SM"/>
      <sheetName val="Gráf 8 SM"/>
      <sheetName val="Gráf LC 3-6"/>
      <sheetName val="Pt 7 (Sin riego)"/>
      <sheetName val="Pt 8 (Sin riego)"/>
      <sheetName val="LC 3-6 (Sin riego)"/>
      <sheetName val="Pt 7 Riego"/>
      <sheetName val="Pt 8 Riego"/>
      <sheetName val="LC 3-6 Riego"/>
    </sheetNames>
    <sheetDataSet>
      <sheetData sheetId="0"/>
      <sheetData sheetId="1" refreshError="1"/>
      <sheetData sheetId="2" refreshError="1"/>
      <sheetData sheetId="3" refreshError="1"/>
      <sheetData sheetId="4"/>
      <sheetData sheetId="5">
        <row r="2">
          <cell r="K2">
            <v>124.78</v>
          </cell>
        </row>
        <row r="3">
          <cell r="K3">
            <v>124.43</v>
          </cell>
        </row>
        <row r="4">
          <cell r="K4">
            <v>124.22000000000001</v>
          </cell>
        </row>
        <row r="5">
          <cell r="K5">
            <v>123.82000000000001</v>
          </cell>
        </row>
        <row r="6">
          <cell r="K6">
            <v>123.58000000000001</v>
          </cell>
        </row>
        <row r="7">
          <cell r="K7">
            <v>123.48000000000002</v>
          </cell>
        </row>
        <row r="8">
          <cell r="K8">
            <v>122.28000000000002</v>
          </cell>
        </row>
        <row r="9">
          <cell r="K9">
            <v>121.08000000000001</v>
          </cell>
        </row>
        <row r="10">
          <cell r="K10">
            <v>125</v>
          </cell>
        </row>
        <row r="11">
          <cell r="K11">
            <v>124.9375</v>
          </cell>
        </row>
        <row r="12">
          <cell r="K12">
            <v>124.5625</v>
          </cell>
        </row>
        <row r="13">
          <cell r="K13">
            <v>124.03749999999999</v>
          </cell>
        </row>
        <row r="14">
          <cell r="K14">
            <v>122.89</v>
          </cell>
        </row>
        <row r="15">
          <cell r="K15">
            <v>121.84</v>
          </cell>
        </row>
        <row r="16">
          <cell r="K16">
            <v>121.42750000000001</v>
          </cell>
        </row>
        <row r="17">
          <cell r="K17">
            <v>119.85250000000001</v>
          </cell>
        </row>
        <row r="18">
          <cell r="K18">
            <v>118.13650000000001</v>
          </cell>
        </row>
        <row r="19">
          <cell r="K19">
            <v>117.92150000000001</v>
          </cell>
        </row>
        <row r="20">
          <cell r="K20">
            <v>116.39150000000001</v>
          </cell>
        </row>
        <row r="21">
          <cell r="K21">
            <v>114.51150000000001</v>
          </cell>
        </row>
        <row r="22">
          <cell r="K22">
            <v>125</v>
          </cell>
        </row>
        <row r="23">
          <cell r="K23">
            <v>121.991</v>
          </cell>
        </row>
        <row r="24">
          <cell r="K24">
            <v>121.193</v>
          </cell>
        </row>
        <row r="25">
          <cell r="K25">
            <v>120.563</v>
          </cell>
        </row>
        <row r="26">
          <cell r="K26">
            <v>118.42100000000001</v>
          </cell>
        </row>
        <row r="27">
          <cell r="K27">
            <v>117.3185</v>
          </cell>
        </row>
        <row r="28">
          <cell r="K28">
            <v>115.6935</v>
          </cell>
        </row>
        <row r="29">
          <cell r="K29">
            <v>113.21850000000001</v>
          </cell>
        </row>
        <row r="30">
          <cell r="K30">
            <v>109.86850000000001</v>
          </cell>
        </row>
        <row r="31">
          <cell r="K31">
            <v>106.46850000000001</v>
          </cell>
        </row>
        <row r="32">
          <cell r="K32">
            <v>102.2595</v>
          </cell>
        </row>
        <row r="33">
          <cell r="K33">
            <v>98.479500000000002</v>
          </cell>
        </row>
        <row r="34">
          <cell r="K34">
            <v>94.787500000000009</v>
          </cell>
        </row>
        <row r="35">
          <cell r="K35">
            <v>91.331500000000005</v>
          </cell>
        </row>
        <row r="36">
          <cell r="K36">
            <v>90.455500000000001</v>
          </cell>
        </row>
        <row r="37">
          <cell r="K37">
            <v>87.495500000000007</v>
          </cell>
        </row>
        <row r="38">
          <cell r="K38">
            <v>84.420500000000004</v>
          </cell>
        </row>
        <row r="39">
          <cell r="K39">
            <v>80.468500000000006</v>
          </cell>
        </row>
        <row r="40">
          <cell r="K40">
            <v>75.9255</v>
          </cell>
        </row>
        <row r="41">
          <cell r="K41">
            <v>71.245499999999993</v>
          </cell>
        </row>
        <row r="42">
          <cell r="K42">
            <v>66.505499999999998</v>
          </cell>
        </row>
        <row r="43">
          <cell r="K43">
            <v>61.305499999999995</v>
          </cell>
        </row>
        <row r="44">
          <cell r="K44">
            <v>57.255499999999998</v>
          </cell>
        </row>
        <row r="45">
          <cell r="K45">
            <v>52.7455</v>
          </cell>
        </row>
        <row r="46">
          <cell r="K46">
            <v>49.7575</v>
          </cell>
        </row>
        <row r="47">
          <cell r="K47">
            <v>47.237499999999997</v>
          </cell>
        </row>
        <row r="48">
          <cell r="K48">
            <v>42.817499999999995</v>
          </cell>
        </row>
        <row r="49">
          <cell r="K49">
            <v>38.345499999999994</v>
          </cell>
        </row>
        <row r="50">
          <cell r="K50">
            <v>35.735499999999995</v>
          </cell>
        </row>
        <row r="51">
          <cell r="K51">
            <v>32.765499999999996</v>
          </cell>
        </row>
        <row r="52">
          <cell r="K52">
            <v>30.965499999999995</v>
          </cell>
        </row>
        <row r="53">
          <cell r="K53">
            <v>27.185499999999994</v>
          </cell>
        </row>
        <row r="54">
          <cell r="K54">
            <v>25.835499999999993</v>
          </cell>
        </row>
        <row r="55">
          <cell r="K55">
            <v>20.43549999999999</v>
          </cell>
        </row>
        <row r="56">
          <cell r="K56">
            <v>15.215499999999992</v>
          </cell>
        </row>
        <row r="57">
          <cell r="K57">
            <v>9.6354999999999915</v>
          </cell>
        </row>
        <row r="58">
          <cell r="K58">
            <v>5.5504999999999916</v>
          </cell>
        </row>
        <row r="59">
          <cell r="K59">
            <v>0.99049999999999194</v>
          </cell>
        </row>
        <row r="60">
          <cell r="K60">
            <v>27.090499999999992</v>
          </cell>
        </row>
        <row r="61">
          <cell r="K61">
            <v>23.67049999999999</v>
          </cell>
        </row>
        <row r="62">
          <cell r="K62">
            <v>18.445499999999988</v>
          </cell>
        </row>
        <row r="63">
          <cell r="K63">
            <v>14.365499999999988</v>
          </cell>
        </row>
        <row r="64">
          <cell r="K64">
            <v>28.965499999999992</v>
          </cell>
        </row>
        <row r="65">
          <cell r="K65">
            <v>27.765499999999992</v>
          </cell>
        </row>
        <row r="66">
          <cell r="K66">
            <v>25.485499999999991</v>
          </cell>
        </row>
        <row r="67">
          <cell r="K67">
            <v>23.68549999999999</v>
          </cell>
        </row>
        <row r="68">
          <cell r="K68">
            <v>20.085499999999989</v>
          </cell>
        </row>
        <row r="69">
          <cell r="K69">
            <v>24.485499999999988</v>
          </cell>
        </row>
        <row r="70">
          <cell r="K70">
            <v>21.005499999999987</v>
          </cell>
        </row>
        <row r="71">
          <cell r="K71">
            <v>16.945499999999988</v>
          </cell>
        </row>
        <row r="72">
          <cell r="K72">
            <v>12.745499999999989</v>
          </cell>
        </row>
        <row r="73">
          <cell r="K73">
            <v>7.9454999999999885</v>
          </cell>
        </row>
        <row r="74">
          <cell r="K74">
            <v>5.465499999999988</v>
          </cell>
        </row>
        <row r="75">
          <cell r="K75">
            <v>3.7054999999999878</v>
          </cell>
        </row>
        <row r="76">
          <cell r="K76">
            <v>0</v>
          </cell>
        </row>
        <row r="77">
          <cell r="K77">
            <v>0</v>
          </cell>
        </row>
        <row r="78">
          <cell r="K78">
            <v>0</v>
          </cell>
        </row>
        <row r="79">
          <cell r="K79">
            <v>0</v>
          </cell>
        </row>
        <row r="80">
          <cell r="K80">
            <v>0</v>
          </cell>
        </row>
        <row r="81">
          <cell r="K81">
            <v>0</v>
          </cell>
        </row>
        <row r="82">
          <cell r="K82">
            <v>0</v>
          </cell>
        </row>
        <row r="83">
          <cell r="K83">
            <v>0</v>
          </cell>
        </row>
        <row r="84">
          <cell r="K84">
            <v>0</v>
          </cell>
        </row>
        <row r="85">
          <cell r="K85">
            <v>47.2</v>
          </cell>
        </row>
        <row r="86">
          <cell r="K86">
            <v>54.400000000000006</v>
          </cell>
        </row>
        <row r="87">
          <cell r="K87">
            <v>47.56</v>
          </cell>
        </row>
        <row r="88">
          <cell r="K88">
            <v>40.36</v>
          </cell>
        </row>
        <row r="89">
          <cell r="K89">
            <v>63</v>
          </cell>
        </row>
        <row r="90">
          <cell r="K90">
            <v>56.33</v>
          </cell>
        </row>
        <row r="91">
          <cell r="K91">
            <v>48.625</v>
          </cell>
        </row>
        <row r="92">
          <cell r="K92">
            <v>42.875</v>
          </cell>
        </row>
        <row r="93">
          <cell r="K93">
            <v>36.549999999999997</v>
          </cell>
        </row>
        <row r="94">
          <cell r="K94">
            <v>31.374999999999996</v>
          </cell>
        </row>
        <row r="95">
          <cell r="K95">
            <v>32.674999999999997</v>
          </cell>
        </row>
        <row r="96">
          <cell r="K96">
            <v>30.474999999999998</v>
          </cell>
        </row>
        <row r="97">
          <cell r="K97">
            <v>24.974999999999998</v>
          </cell>
        </row>
        <row r="98">
          <cell r="K98">
            <v>23.074999999999999</v>
          </cell>
        </row>
        <row r="99">
          <cell r="K99">
            <v>96.705000000000013</v>
          </cell>
        </row>
        <row r="100">
          <cell r="K100">
            <v>91.18</v>
          </cell>
        </row>
        <row r="101">
          <cell r="K101">
            <v>85.580000000000013</v>
          </cell>
        </row>
        <row r="102">
          <cell r="K102">
            <v>80.105000000000018</v>
          </cell>
        </row>
        <row r="103">
          <cell r="K103">
            <v>76.555000000000021</v>
          </cell>
        </row>
        <row r="104">
          <cell r="K104">
            <v>73.055000000000021</v>
          </cell>
        </row>
        <row r="105">
          <cell r="K105">
            <v>69.053000000000026</v>
          </cell>
        </row>
        <row r="106">
          <cell r="K106">
            <v>67.353000000000023</v>
          </cell>
        </row>
        <row r="107">
          <cell r="K107">
            <v>63.46700000000002</v>
          </cell>
        </row>
        <row r="108">
          <cell r="K108">
            <v>59.441000000000017</v>
          </cell>
        </row>
        <row r="109">
          <cell r="K109">
            <v>57.491000000000014</v>
          </cell>
        </row>
        <row r="110">
          <cell r="K110">
            <v>54.046000000000014</v>
          </cell>
        </row>
        <row r="111">
          <cell r="K111">
            <v>51.186000000000014</v>
          </cell>
        </row>
        <row r="112">
          <cell r="K112">
            <v>49.691000000000017</v>
          </cell>
        </row>
        <row r="113">
          <cell r="K113">
            <v>46.896000000000015</v>
          </cell>
        </row>
        <row r="114">
          <cell r="K114">
            <v>43.516000000000012</v>
          </cell>
        </row>
        <row r="115">
          <cell r="K115">
            <v>40.555000000000014</v>
          </cell>
        </row>
        <row r="116">
          <cell r="K116">
            <v>37.931000000000012</v>
          </cell>
        </row>
        <row r="117">
          <cell r="K117">
            <v>34.515000000000015</v>
          </cell>
        </row>
        <row r="118">
          <cell r="K118">
            <v>30.855000000000015</v>
          </cell>
        </row>
        <row r="119">
          <cell r="K119">
            <v>27.775000000000013</v>
          </cell>
        </row>
        <row r="120">
          <cell r="K120">
            <v>26.556000000000012</v>
          </cell>
        </row>
        <row r="121">
          <cell r="K121">
            <v>25.106000000000012</v>
          </cell>
        </row>
        <row r="122">
          <cell r="K122">
            <v>23.414000000000012</v>
          </cell>
        </row>
        <row r="123">
          <cell r="K123">
            <v>21.614000000000011</v>
          </cell>
        </row>
        <row r="124">
          <cell r="K124">
            <v>19.654000000000011</v>
          </cell>
        </row>
        <row r="125">
          <cell r="K125">
            <v>17.33400000000001</v>
          </cell>
        </row>
        <row r="126">
          <cell r="K126">
            <v>15.45400000000001</v>
          </cell>
        </row>
        <row r="127">
          <cell r="K127">
            <v>14.414000000000009</v>
          </cell>
        </row>
      </sheetData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workbookViewId="0">
      <selection activeCell="A12" sqref="A12"/>
    </sheetView>
  </sheetViews>
  <sheetFormatPr baseColWidth="10" defaultRowHeight="14.4" x14ac:dyDescent="0.3"/>
  <cols>
    <col min="1" max="1" width="13.109375" customWidth="1"/>
  </cols>
  <sheetData>
    <row r="1" spans="1:14" x14ac:dyDescent="0.3">
      <c r="A1" s="93" t="s">
        <v>0</v>
      </c>
      <c r="B1" s="93"/>
      <c r="D1" t="s">
        <v>32</v>
      </c>
      <c r="E1" t="s">
        <v>53</v>
      </c>
    </row>
    <row r="2" spans="1:14" x14ac:dyDescent="0.3">
      <c r="A2" s="3" t="s">
        <v>1</v>
      </c>
      <c r="B2" s="4">
        <v>1</v>
      </c>
      <c r="E2" s="33" t="s">
        <v>33</v>
      </c>
      <c r="F2" s="33" t="s">
        <v>34</v>
      </c>
      <c r="G2" s="33" t="s">
        <v>34</v>
      </c>
      <c r="H2" s="33" t="s">
        <v>35</v>
      </c>
      <c r="I2" s="33" t="s">
        <v>36</v>
      </c>
      <c r="J2" s="33" t="s">
        <v>37</v>
      </c>
      <c r="K2" s="33" t="s">
        <v>38</v>
      </c>
      <c r="L2" s="33" t="s">
        <v>39</v>
      </c>
      <c r="M2" s="33" t="s">
        <v>40</v>
      </c>
      <c r="N2" s="33" t="s">
        <v>41</v>
      </c>
    </row>
    <row r="3" spans="1:14" x14ac:dyDescent="0.3">
      <c r="A3" s="3" t="s">
        <v>2</v>
      </c>
      <c r="B3" s="4">
        <v>0.85</v>
      </c>
      <c r="E3" s="33" t="s">
        <v>42</v>
      </c>
      <c r="F3" s="33" t="s">
        <v>38</v>
      </c>
      <c r="G3" s="33" t="s">
        <v>39</v>
      </c>
      <c r="H3" s="33" t="s">
        <v>43</v>
      </c>
      <c r="I3" s="33" t="s">
        <v>44</v>
      </c>
      <c r="J3" s="33" t="s">
        <v>45</v>
      </c>
      <c r="K3" s="33" t="s">
        <v>45</v>
      </c>
      <c r="L3" s="33" t="s">
        <v>45</v>
      </c>
      <c r="M3" s="33" t="s">
        <v>45</v>
      </c>
      <c r="N3" s="33" t="s">
        <v>46</v>
      </c>
    </row>
    <row r="4" spans="1:14" x14ac:dyDescent="0.3">
      <c r="A4" s="3" t="s">
        <v>3</v>
      </c>
      <c r="B4" s="4">
        <v>0.7</v>
      </c>
      <c r="D4" s="33" t="s">
        <v>47</v>
      </c>
      <c r="E4" s="2">
        <v>29</v>
      </c>
      <c r="F4" s="34">
        <v>25.7</v>
      </c>
      <c r="G4" s="34">
        <v>14.8</v>
      </c>
      <c r="H4" s="2">
        <v>1.31</v>
      </c>
      <c r="I4" s="2">
        <v>2</v>
      </c>
      <c r="J4" s="2">
        <f>E4*H4*I4</f>
        <v>75.98</v>
      </c>
      <c r="K4" s="9">
        <f>F4*H4*I4</f>
        <v>67.334000000000003</v>
      </c>
      <c r="L4" s="9">
        <f>G4*H4*I4</f>
        <v>38.776000000000003</v>
      </c>
      <c r="M4" s="9">
        <f>K4-L4</f>
        <v>28.558</v>
      </c>
      <c r="N4" s="9">
        <f>J4-L4</f>
        <v>37.204000000000001</v>
      </c>
    </row>
    <row r="5" spans="1:14" x14ac:dyDescent="0.3">
      <c r="A5" s="3" t="s">
        <v>4</v>
      </c>
      <c r="B5" s="4">
        <v>0.55000000000000004</v>
      </c>
      <c r="D5" s="33" t="s">
        <v>48</v>
      </c>
      <c r="E5" s="2">
        <v>22</v>
      </c>
      <c r="F5" s="34">
        <v>22.6</v>
      </c>
      <c r="G5" s="34">
        <v>15.1</v>
      </c>
      <c r="H5" s="2">
        <v>1.35</v>
      </c>
      <c r="I5" s="2">
        <v>2</v>
      </c>
      <c r="J5" s="2">
        <f>E5*H5*I5</f>
        <v>59.400000000000006</v>
      </c>
      <c r="K5" s="2">
        <f>F5*H5*I5</f>
        <v>61.02000000000001</v>
      </c>
      <c r="L5" s="2">
        <f>G5*H5*I5</f>
        <v>40.770000000000003</v>
      </c>
      <c r="M5" s="9">
        <f>K5-L5</f>
        <v>20.250000000000007</v>
      </c>
      <c r="N5" s="2">
        <f>J5-L5</f>
        <v>18.630000000000003</v>
      </c>
    </row>
    <row r="6" spans="1:14" x14ac:dyDescent="0.3">
      <c r="D6" s="33" t="s">
        <v>49</v>
      </c>
      <c r="E6" s="2">
        <v>31</v>
      </c>
      <c r="F6" s="34">
        <v>31.3</v>
      </c>
      <c r="G6" s="34">
        <v>19.8</v>
      </c>
      <c r="H6" s="9">
        <v>1.4</v>
      </c>
      <c r="I6" s="2">
        <v>6</v>
      </c>
      <c r="J6" s="2">
        <f>E6*H6*I6</f>
        <v>260.39999999999998</v>
      </c>
      <c r="K6" s="2">
        <f>F6*H6*I6</f>
        <v>262.92</v>
      </c>
      <c r="L6" s="2">
        <f>G6*H6*I6</f>
        <v>166.32</v>
      </c>
      <c r="M6" s="9">
        <f>K6-L6</f>
        <v>96.600000000000023</v>
      </c>
      <c r="N6" s="2">
        <f>J6-L6</f>
        <v>94.079999999999984</v>
      </c>
    </row>
    <row r="7" spans="1:14" x14ac:dyDescent="0.3">
      <c r="D7" s="33" t="s">
        <v>50</v>
      </c>
      <c r="F7" s="35"/>
      <c r="G7" s="35"/>
      <c r="M7" s="38">
        <f>SUM(M4:M6)</f>
        <v>145.40800000000002</v>
      </c>
      <c r="N7" s="38">
        <f>SUM(N4:N6)</f>
        <v>149.91399999999999</v>
      </c>
    </row>
    <row r="8" spans="1:14" x14ac:dyDescent="0.3">
      <c r="L8" t="s">
        <v>51</v>
      </c>
      <c r="M8" s="36">
        <v>0.75</v>
      </c>
    </row>
    <row r="9" spans="1:14" x14ac:dyDescent="0.3">
      <c r="E9" s="2"/>
      <c r="F9" s="34"/>
      <c r="G9" s="34"/>
      <c r="L9" t="s">
        <v>52</v>
      </c>
      <c r="M9" s="37">
        <f>M7*M8</f>
        <v>109.05600000000001</v>
      </c>
    </row>
    <row r="10" spans="1:14" x14ac:dyDescent="0.3">
      <c r="E10" s="2"/>
      <c r="F10" s="34"/>
      <c r="G10" s="34"/>
    </row>
    <row r="11" spans="1:14" x14ac:dyDescent="0.3">
      <c r="A11" t="s">
        <v>22</v>
      </c>
      <c r="B11" s="42">
        <v>45536</v>
      </c>
      <c r="C11" s="43">
        <v>0.05</v>
      </c>
      <c r="E11" s="2"/>
      <c r="F11" s="34"/>
      <c r="G11" s="34"/>
    </row>
    <row r="12" spans="1:14" x14ac:dyDescent="0.3">
      <c r="B12" s="42">
        <v>45542</v>
      </c>
      <c r="C12" s="43">
        <v>0.09</v>
      </c>
    </row>
    <row r="13" spans="1:14" x14ac:dyDescent="0.3">
      <c r="B13" s="42">
        <v>45550</v>
      </c>
      <c r="C13" s="43">
        <v>0.14000000000000001</v>
      </c>
    </row>
    <row r="14" spans="1:14" x14ac:dyDescent="0.3">
      <c r="B14" s="42">
        <v>45556</v>
      </c>
      <c r="C14" s="43">
        <v>0.18</v>
      </c>
    </row>
    <row r="15" spans="1:14" x14ac:dyDescent="0.3">
      <c r="B15" s="42">
        <v>45563</v>
      </c>
      <c r="C15" s="43">
        <v>0.25</v>
      </c>
    </row>
    <row r="16" spans="1:14" x14ac:dyDescent="0.3">
      <c r="A16" s="42" t="s">
        <v>24</v>
      </c>
      <c r="B16" s="42">
        <v>45572</v>
      </c>
      <c r="C16" s="43">
        <v>0.28000000000000003</v>
      </c>
    </row>
    <row r="17" spans="1:4" x14ac:dyDescent="0.3">
      <c r="A17" s="42"/>
      <c r="B17" s="42">
        <v>45580</v>
      </c>
      <c r="C17" s="43">
        <v>0.44</v>
      </c>
      <c r="D17" s="43"/>
    </row>
    <row r="18" spans="1:4" x14ac:dyDescent="0.3">
      <c r="A18" s="42"/>
      <c r="B18" s="42">
        <v>45586</v>
      </c>
      <c r="C18" s="43">
        <v>0.51</v>
      </c>
      <c r="D18" s="43"/>
    </row>
    <row r="19" spans="1:4" x14ac:dyDescent="0.3">
      <c r="A19" s="42"/>
      <c r="B19" s="42">
        <v>45593</v>
      </c>
      <c r="C19" s="43">
        <v>0.64</v>
      </c>
      <c r="D19" s="43"/>
    </row>
    <row r="20" spans="1:4" x14ac:dyDescent="0.3">
      <c r="B20" s="42">
        <v>45603</v>
      </c>
      <c r="C20" s="43">
        <v>0.77</v>
      </c>
      <c r="D20" s="43"/>
    </row>
    <row r="21" spans="1:4" x14ac:dyDescent="0.3">
      <c r="B21" s="42">
        <v>45611</v>
      </c>
      <c r="C21" s="43">
        <v>0.84</v>
      </c>
      <c r="D21" s="43"/>
    </row>
    <row r="22" spans="1:4" x14ac:dyDescent="0.3">
      <c r="A22" s="42" t="s">
        <v>58</v>
      </c>
      <c r="B22" s="42">
        <v>45617</v>
      </c>
      <c r="C22" s="43">
        <v>0.96</v>
      </c>
      <c r="D22" s="43"/>
    </row>
    <row r="23" spans="1:4" x14ac:dyDescent="0.3">
      <c r="B23" s="42">
        <v>45624</v>
      </c>
      <c r="C23" s="43">
        <v>1</v>
      </c>
      <c r="D23" s="43"/>
    </row>
    <row r="24" spans="1:4" x14ac:dyDescent="0.3">
      <c r="B24" s="42">
        <v>45633</v>
      </c>
      <c r="C24" s="43">
        <v>1.1000000000000001</v>
      </c>
      <c r="D24" s="43"/>
    </row>
    <row r="25" spans="1:4" x14ac:dyDescent="0.3">
      <c r="A25" s="42"/>
      <c r="B25" s="42">
        <v>45641</v>
      </c>
      <c r="C25" s="43">
        <v>1.1000000000000001</v>
      </c>
      <c r="D25" s="43"/>
    </row>
    <row r="26" spans="1:4" x14ac:dyDescent="0.3">
      <c r="B26" s="42">
        <v>45647</v>
      </c>
      <c r="C26" s="43">
        <v>1.1000000000000001</v>
      </c>
      <c r="D26" s="43"/>
    </row>
    <row r="27" spans="1:4" x14ac:dyDescent="0.3">
      <c r="B27" s="42">
        <v>45654</v>
      </c>
      <c r="C27" s="43">
        <v>1</v>
      </c>
      <c r="D27" s="43"/>
    </row>
    <row r="28" spans="1:4" x14ac:dyDescent="0.3">
      <c r="B28" s="42">
        <v>45664</v>
      </c>
      <c r="C28" s="43">
        <v>0.95</v>
      </c>
      <c r="D28" s="43"/>
    </row>
    <row r="29" spans="1:4" x14ac:dyDescent="0.3">
      <c r="B29" s="42">
        <v>45672</v>
      </c>
      <c r="C29" s="43">
        <v>0.87</v>
      </c>
      <c r="D29" s="43"/>
    </row>
    <row r="30" spans="1:4" x14ac:dyDescent="0.3">
      <c r="A30" s="42" t="s">
        <v>57</v>
      </c>
      <c r="B30" s="42">
        <v>45678</v>
      </c>
      <c r="C30" s="43">
        <v>0.77</v>
      </c>
      <c r="D30" s="43"/>
    </row>
    <row r="31" spans="1:4" x14ac:dyDescent="0.3">
      <c r="B31" s="42">
        <v>45685</v>
      </c>
      <c r="C31" s="43">
        <v>0.56000000000000005</v>
      </c>
      <c r="D31" s="43"/>
    </row>
  </sheetData>
  <mergeCells count="1">
    <mergeCell ref="A1:B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workbookViewId="0">
      <selection activeCell="H17" sqref="H17"/>
    </sheetView>
  </sheetViews>
  <sheetFormatPr baseColWidth="10" defaultRowHeight="14.4" x14ac:dyDescent="0.3"/>
  <sheetData>
    <row r="1" spans="1:3" x14ac:dyDescent="0.3">
      <c r="A1" s="74" t="s">
        <v>74</v>
      </c>
      <c r="B1" s="94" t="s">
        <v>75</v>
      </c>
      <c r="C1" s="95"/>
    </row>
    <row r="2" spans="1:3" x14ac:dyDescent="0.3">
      <c r="A2" s="66" t="s">
        <v>5</v>
      </c>
      <c r="B2" s="13" t="s">
        <v>6</v>
      </c>
      <c r="C2" s="67" t="s">
        <v>7</v>
      </c>
    </row>
    <row r="3" spans="1:3" x14ac:dyDescent="0.3">
      <c r="A3" s="69">
        <v>45946</v>
      </c>
      <c r="B3" s="46" t="s">
        <v>22</v>
      </c>
      <c r="C3" s="68">
        <v>20</v>
      </c>
    </row>
    <row r="4" spans="1:3" x14ac:dyDescent="0.3">
      <c r="A4" s="69">
        <v>45994</v>
      </c>
      <c r="B4" s="45" t="s">
        <v>58</v>
      </c>
      <c r="C4" s="68">
        <v>20</v>
      </c>
    </row>
    <row r="5" spans="1:3" x14ac:dyDescent="0.3">
      <c r="A5" s="69">
        <v>45998</v>
      </c>
      <c r="B5" s="45" t="s">
        <v>58</v>
      </c>
      <c r="C5" s="68">
        <v>20</v>
      </c>
    </row>
    <row r="6" spans="1:3" x14ac:dyDescent="0.3">
      <c r="A6" s="69">
        <v>46001</v>
      </c>
      <c r="B6" s="45" t="s">
        <v>58</v>
      </c>
      <c r="C6" s="68">
        <v>20</v>
      </c>
    </row>
    <row r="7" spans="1:3" x14ac:dyDescent="0.3">
      <c r="A7" s="69">
        <v>46013</v>
      </c>
      <c r="B7" s="45" t="s">
        <v>58</v>
      </c>
      <c r="C7" s="68">
        <v>20</v>
      </c>
    </row>
    <row r="8" spans="1:3" x14ac:dyDescent="0.3">
      <c r="A8" s="70"/>
      <c r="B8" s="71"/>
      <c r="C8" s="72"/>
    </row>
    <row r="9" spans="1:3" x14ac:dyDescent="0.3">
      <c r="A9" s="70"/>
      <c r="B9" s="71"/>
      <c r="C9" s="72"/>
    </row>
    <row r="10" spans="1:3" ht="15" thickBot="1" x14ac:dyDescent="0.35">
      <c r="A10" s="75" t="s">
        <v>73</v>
      </c>
      <c r="B10" s="76"/>
      <c r="C10" s="77">
        <f>SUM(C3:C9)</f>
        <v>100</v>
      </c>
    </row>
    <row r="11" spans="1:3" ht="15" thickBot="1" x14ac:dyDescent="0.35"/>
    <row r="12" spans="1:3" ht="15" thickBot="1" x14ac:dyDescent="0.35">
      <c r="B12" s="74" t="s">
        <v>78</v>
      </c>
      <c r="C12" s="88"/>
    </row>
    <row r="13" spans="1:3" x14ac:dyDescent="0.3">
      <c r="B13" s="85" t="s">
        <v>5</v>
      </c>
      <c r="C13" s="86" t="s">
        <v>77</v>
      </c>
    </row>
    <row r="14" spans="1:3" x14ac:dyDescent="0.3">
      <c r="B14" s="89">
        <v>45998</v>
      </c>
      <c r="C14" s="68">
        <v>20</v>
      </c>
    </row>
    <row r="15" spans="1:3" x14ac:dyDescent="0.3">
      <c r="B15" s="89">
        <v>46001</v>
      </c>
      <c r="C15" s="68">
        <v>20</v>
      </c>
    </row>
    <row r="16" spans="1:3" x14ac:dyDescent="0.3">
      <c r="B16" s="89">
        <v>46004</v>
      </c>
      <c r="C16" s="68">
        <v>20</v>
      </c>
    </row>
    <row r="17" spans="2:3" x14ac:dyDescent="0.3">
      <c r="B17" s="89">
        <v>46013</v>
      </c>
      <c r="C17" s="68">
        <v>20</v>
      </c>
    </row>
    <row r="18" spans="2:3" x14ac:dyDescent="0.3">
      <c r="B18" s="89">
        <v>46022</v>
      </c>
      <c r="C18" s="68">
        <v>20</v>
      </c>
    </row>
    <row r="19" spans="2:3" x14ac:dyDescent="0.3">
      <c r="B19" s="89">
        <v>46028</v>
      </c>
      <c r="C19" s="68">
        <v>20</v>
      </c>
    </row>
    <row r="20" spans="2:3" x14ac:dyDescent="0.3">
      <c r="B20" s="89">
        <v>46030</v>
      </c>
      <c r="C20" s="68">
        <v>20</v>
      </c>
    </row>
    <row r="21" spans="2:3" ht="15" thickBot="1" x14ac:dyDescent="0.35">
      <c r="B21" s="91">
        <v>46042</v>
      </c>
      <c r="C21" s="92">
        <v>20</v>
      </c>
    </row>
    <row r="22" spans="2:3" ht="15.6" thickTop="1" thickBot="1" x14ac:dyDescent="0.35">
      <c r="B22" s="75" t="s">
        <v>73</v>
      </c>
      <c r="C22" s="77">
        <f>SUM(C14:C21)</f>
        <v>160</v>
      </c>
    </row>
    <row r="23" spans="2:3" x14ac:dyDescent="0.3">
      <c r="B23" s="74" t="s">
        <v>65</v>
      </c>
      <c r="C23" s="87">
        <v>100</v>
      </c>
    </row>
    <row r="24" spans="2:3" ht="15" thickBot="1" x14ac:dyDescent="0.35">
      <c r="B24" s="73" t="s">
        <v>79</v>
      </c>
      <c r="C24" s="90">
        <f>C22*C23</f>
        <v>16000</v>
      </c>
    </row>
  </sheetData>
  <mergeCells count="1">
    <mergeCell ref="B1:C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selection activeCell="A2" sqref="A2"/>
    </sheetView>
  </sheetViews>
  <sheetFormatPr baseColWidth="10" defaultRowHeight="14.4" x14ac:dyDescent="0.3"/>
  <cols>
    <col min="3" max="3" width="11.5546875" customWidth="1"/>
  </cols>
  <sheetData>
    <row r="1" spans="1:8" x14ac:dyDescent="0.3">
      <c r="A1" t="s">
        <v>76</v>
      </c>
      <c r="D1" s="79"/>
      <c r="E1" s="79"/>
      <c r="F1" s="79"/>
      <c r="G1" s="79"/>
      <c r="H1" s="79"/>
    </row>
    <row r="2" spans="1:8" x14ac:dyDescent="0.3">
      <c r="A2" s="59" t="s">
        <v>64</v>
      </c>
      <c r="B2" s="60" t="s">
        <v>65</v>
      </c>
      <c r="C2" s="60" t="s">
        <v>66</v>
      </c>
      <c r="D2" s="60" t="s">
        <v>68</v>
      </c>
      <c r="E2" s="60" t="s">
        <v>69</v>
      </c>
      <c r="F2" s="60" t="s">
        <v>70</v>
      </c>
      <c r="G2" s="60" t="s">
        <v>71</v>
      </c>
      <c r="H2" s="60" t="s">
        <v>72</v>
      </c>
    </row>
    <row r="3" spans="1:8" x14ac:dyDescent="0.3">
      <c r="A3" t="s">
        <v>67</v>
      </c>
      <c r="B3" s="2">
        <v>100</v>
      </c>
      <c r="C3" s="58">
        <v>45917</v>
      </c>
      <c r="D3" s="57">
        <f>B3*SUM('ET - SGR'!C16:C46)</f>
        <v>2000</v>
      </c>
      <c r="E3" s="57">
        <f>B3*SUM('ET - SGR'!C47:C76)</f>
        <v>0</v>
      </c>
      <c r="F3" s="57">
        <f>B3*SUM('ET - SGR'!C77:C107)</f>
        <v>12000</v>
      </c>
      <c r="G3" s="57">
        <f>B3*SUM('ET - SGR'!C108:C138)</f>
        <v>6000</v>
      </c>
      <c r="H3" s="57">
        <f>B3*SUM('ET - SGR'!C139:C153)</f>
        <v>0</v>
      </c>
    </row>
    <row r="4" spans="1:8" x14ac:dyDescent="0.3">
      <c r="B4" s="2"/>
      <c r="C4" s="58"/>
      <c r="D4" s="57"/>
      <c r="E4" s="57"/>
      <c r="F4" s="57"/>
      <c r="G4" s="57"/>
      <c r="H4" s="57"/>
    </row>
    <row r="5" spans="1:8" x14ac:dyDescent="0.3">
      <c r="B5" s="2"/>
      <c r="C5" s="58"/>
      <c r="D5" s="57"/>
      <c r="E5" s="57"/>
      <c r="F5" s="57"/>
      <c r="G5" s="57"/>
      <c r="H5" s="57"/>
    </row>
    <row r="6" spans="1:8" x14ac:dyDescent="0.3">
      <c r="B6" s="2"/>
      <c r="C6" s="58"/>
      <c r="D6" s="57"/>
      <c r="E6" s="57"/>
      <c r="F6" s="57"/>
      <c r="G6" s="57"/>
      <c r="H6" s="57"/>
    </row>
    <row r="7" spans="1:8" ht="15" thickBot="1" x14ac:dyDescent="0.35">
      <c r="A7" s="61"/>
      <c r="B7" s="62"/>
      <c r="C7" s="63"/>
      <c r="D7" s="64"/>
      <c r="E7" s="64"/>
      <c r="F7" s="64"/>
      <c r="G7" s="64"/>
      <c r="H7" s="64"/>
    </row>
    <row r="8" spans="1:8" ht="15" thickTop="1" x14ac:dyDescent="0.3">
      <c r="A8" s="80" t="s">
        <v>73</v>
      </c>
      <c r="B8" s="78">
        <f>SUM(B3:B7)</f>
        <v>100</v>
      </c>
      <c r="C8" s="81"/>
      <c r="D8" s="82">
        <f>SUM(D3:D7)</f>
        <v>2000</v>
      </c>
      <c r="E8" s="82">
        <f>SUM(E3:E7)</f>
        <v>0</v>
      </c>
      <c r="F8" s="82">
        <f>SUM(F3:F7)</f>
        <v>12000</v>
      </c>
      <c r="G8" s="82">
        <f>SUM(G3:G7)</f>
        <v>6000</v>
      </c>
      <c r="H8" s="82">
        <f>SUM(H3:H7)</f>
        <v>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97"/>
  <sheetViews>
    <sheetView tabSelected="1" zoomScale="60" zoomScaleNormal="60" workbookViewId="0">
      <pane ySplit="1" topLeftCell="A111" activePane="bottomLeft" state="frozen"/>
      <selection pane="bottomLeft" activeCell="F156" sqref="F156"/>
    </sheetView>
  </sheetViews>
  <sheetFormatPr baseColWidth="10" defaultRowHeight="14.4" x14ac:dyDescent="0.3"/>
  <cols>
    <col min="15" max="15" width="11.5546875" style="2"/>
  </cols>
  <sheetData>
    <row r="1" spans="1:25" x14ac:dyDescent="0.3">
      <c r="A1" s="13" t="s">
        <v>5</v>
      </c>
      <c r="B1" s="13" t="s">
        <v>6</v>
      </c>
      <c r="C1" s="13" t="s">
        <v>7</v>
      </c>
      <c r="D1" s="13" t="s">
        <v>8</v>
      </c>
      <c r="E1" s="13" t="s">
        <v>9</v>
      </c>
      <c r="F1" s="13" t="s">
        <v>10</v>
      </c>
      <c r="G1" s="14" t="s">
        <v>11</v>
      </c>
      <c r="H1" s="13" t="s">
        <v>12</v>
      </c>
      <c r="I1" s="13" t="s">
        <v>13</v>
      </c>
      <c r="J1" s="14" t="s">
        <v>14</v>
      </c>
      <c r="K1" s="14" t="s">
        <v>62</v>
      </c>
      <c r="L1" s="14" t="s">
        <v>16</v>
      </c>
      <c r="M1" s="15" t="s">
        <v>54</v>
      </c>
      <c r="N1" s="15" t="s">
        <v>55</v>
      </c>
      <c r="O1" s="50" t="s">
        <v>61</v>
      </c>
      <c r="P1" s="50" t="s">
        <v>63</v>
      </c>
      <c r="Q1" s="15" t="s">
        <v>17</v>
      </c>
      <c r="R1" s="15" t="s">
        <v>18</v>
      </c>
      <c r="S1" s="14" t="s">
        <v>14</v>
      </c>
      <c r="T1" s="16" t="s">
        <v>19</v>
      </c>
      <c r="U1" s="17"/>
      <c r="V1" s="40" t="s">
        <v>56</v>
      </c>
      <c r="W1" s="17"/>
      <c r="X1" s="17"/>
      <c r="Y1" s="17"/>
    </row>
    <row r="2" spans="1:25" x14ac:dyDescent="0.3">
      <c r="A2" s="5">
        <f>Hoja1!C3</f>
        <v>45917</v>
      </c>
      <c r="B2" s="6" t="s">
        <v>20</v>
      </c>
      <c r="C2" s="18"/>
      <c r="D2" s="19"/>
      <c r="E2" s="19">
        <v>1</v>
      </c>
      <c r="F2" s="7">
        <f>D2*E2</f>
        <v>0</v>
      </c>
      <c r="G2" s="20">
        <v>90</v>
      </c>
      <c r="H2" s="51">
        <v>2.4</v>
      </c>
      <c r="I2" s="52">
        <v>0.09</v>
      </c>
      <c r="J2" s="21">
        <f>H2*I2</f>
        <v>0.216</v>
      </c>
      <c r="K2" s="11">
        <f t="shared" ref="K2:K12" si="0">IF(C2+F2+G2-J2&gt;$U$2,$U$2,(IF(C2+F2+G2-J2&lt;0,0,C2+F2+G2-J2)))</f>
        <v>89.784000000000006</v>
      </c>
      <c r="L2" s="11">
        <f>P2*100/$U$2</f>
        <v>74.820000000000007</v>
      </c>
      <c r="M2" s="2">
        <f t="shared" ref="M2:M33" si="1">+$U$2*0.5</f>
        <v>60</v>
      </c>
      <c r="N2" s="10">
        <f t="shared" ref="N2:N12" si="2">K2-M2</f>
        <v>29.784000000000006</v>
      </c>
      <c r="O2" s="49">
        <f>G2</f>
        <v>90</v>
      </c>
      <c r="P2" s="41">
        <f>IF(V2+F2+G2-J2&gt;$U$2,$U$2,(IF(V2+F2+G2-J2&lt;0,0,V2+F2+G2-J2)))</f>
        <v>89.784000000000006</v>
      </c>
      <c r="Q2" s="17" t="s">
        <v>21</v>
      </c>
      <c r="R2" s="17" t="s">
        <v>21</v>
      </c>
      <c r="S2" s="17" t="s">
        <v>21</v>
      </c>
      <c r="T2" s="14" t="s">
        <v>15</v>
      </c>
      <c r="U2" s="24">
        <v>120</v>
      </c>
      <c r="V2" s="17"/>
      <c r="W2" s="17"/>
      <c r="X2" s="17"/>
      <c r="Y2" s="17"/>
    </row>
    <row r="3" spans="1:25" x14ac:dyDescent="0.3">
      <c r="A3" s="5">
        <f>A2+1</f>
        <v>45918</v>
      </c>
      <c r="B3" s="46" t="s">
        <v>22</v>
      </c>
      <c r="C3" s="18"/>
      <c r="D3" s="19"/>
      <c r="E3" s="19">
        <v>1</v>
      </c>
      <c r="F3" s="7">
        <f>D3*E3</f>
        <v>0</v>
      </c>
      <c r="G3" s="25">
        <f t="shared" ref="G3:G13" si="3">K2</f>
        <v>89.784000000000006</v>
      </c>
      <c r="H3" s="51">
        <v>2.6</v>
      </c>
      <c r="I3" s="52">
        <v>0.09</v>
      </c>
      <c r="J3" s="21">
        <f t="shared" ref="J3:J66" si="4">H3*I3</f>
        <v>0.23399999999999999</v>
      </c>
      <c r="K3" s="11">
        <f t="shared" si="0"/>
        <v>89.550000000000011</v>
      </c>
      <c r="L3" s="11">
        <f>P3*100/$U$2</f>
        <v>74.625000000000014</v>
      </c>
      <c r="M3" s="2">
        <f t="shared" si="1"/>
        <v>60</v>
      </c>
      <c r="N3" s="10">
        <f t="shared" si="2"/>
        <v>29.550000000000011</v>
      </c>
      <c r="O3" s="49">
        <f t="shared" ref="O3:O34" si="5">P2</f>
        <v>89.784000000000006</v>
      </c>
      <c r="P3" s="41">
        <f>IF(V3+F3+O3-J3&gt;$U$2,$U$2,(IF(V3+F3+O3-J3&lt;0,0,V3+F3+O3-J3)))</f>
        <v>89.550000000000011</v>
      </c>
      <c r="Q3" s="17"/>
      <c r="R3" s="17"/>
      <c r="S3" s="17"/>
      <c r="T3" s="17"/>
      <c r="U3" s="17"/>
      <c r="V3" s="17"/>
      <c r="W3" s="17"/>
      <c r="X3" s="17"/>
      <c r="Y3" s="17"/>
    </row>
    <row r="4" spans="1:25" x14ac:dyDescent="0.3">
      <c r="A4" s="5">
        <f t="shared" ref="A4:A67" si="6">A3+1</f>
        <v>45919</v>
      </c>
      <c r="B4" s="46" t="s">
        <v>22</v>
      </c>
      <c r="C4" s="18"/>
      <c r="D4" s="19"/>
      <c r="E4" s="19">
        <v>1</v>
      </c>
      <c r="F4" s="7">
        <f t="shared" ref="F4:F66" si="7">D4*E4</f>
        <v>0</v>
      </c>
      <c r="G4" s="25">
        <f t="shared" si="3"/>
        <v>89.550000000000011</v>
      </c>
      <c r="H4" s="51">
        <v>3</v>
      </c>
      <c r="I4" s="52">
        <v>0.09</v>
      </c>
      <c r="J4" s="21">
        <f t="shared" si="4"/>
        <v>0.27</v>
      </c>
      <c r="K4" s="11">
        <f t="shared" si="0"/>
        <v>89.280000000000015</v>
      </c>
      <c r="L4" s="11">
        <f>K4*100/$U$2</f>
        <v>74.40000000000002</v>
      </c>
      <c r="M4" s="2">
        <f t="shared" si="1"/>
        <v>60</v>
      </c>
      <c r="N4" s="10">
        <f t="shared" si="2"/>
        <v>29.280000000000015</v>
      </c>
      <c r="O4" s="49">
        <f t="shared" si="5"/>
        <v>89.550000000000011</v>
      </c>
      <c r="P4" s="41">
        <f t="shared" ref="P4:P67" si="8">IF(V4+F4+O4-J4&gt;$U$2,$U$2,(IF(V4+F4+O4-J4&lt;0,0,V4+F4+O4-J4)))</f>
        <v>89.280000000000015</v>
      </c>
      <c r="Q4" s="43"/>
      <c r="R4" s="17"/>
      <c r="S4" s="17"/>
      <c r="T4" s="17" t="s">
        <v>23</v>
      </c>
      <c r="U4" s="17"/>
      <c r="V4" s="17"/>
      <c r="W4" s="17"/>
      <c r="X4" s="17"/>
      <c r="Y4" s="17"/>
    </row>
    <row r="5" spans="1:25" x14ac:dyDescent="0.3">
      <c r="A5" s="5">
        <f t="shared" si="6"/>
        <v>45920</v>
      </c>
      <c r="B5" s="46" t="s">
        <v>22</v>
      </c>
      <c r="C5" s="18"/>
      <c r="D5" s="19"/>
      <c r="E5" s="19">
        <v>1</v>
      </c>
      <c r="F5" s="7">
        <f t="shared" si="7"/>
        <v>0</v>
      </c>
      <c r="G5" s="25">
        <f t="shared" si="3"/>
        <v>89.280000000000015</v>
      </c>
      <c r="H5" s="51">
        <v>2.5499999999999998</v>
      </c>
      <c r="I5" s="52">
        <v>0.09</v>
      </c>
      <c r="J5" s="21">
        <f t="shared" si="4"/>
        <v>0.22949999999999998</v>
      </c>
      <c r="K5" s="11">
        <f t="shared" si="0"/>
        <v>89.050500000000014</v>
      </c>
      <c r="L5" s="11">
        <f>K5*100/$U$2</f>
        <v>74.208750000000009</v>
      </c>
      <c r="M5" s="2">
        <f t="shared" si="1"/>
        <v>60</v>
      </c>
      <c r="N5" s="10">
        <f t="shared" si="2"/>
        <v>29.050500000000014</v>
      </c>
      <c r="O5" s="49">
        <f t="shared" si="5"/>
        <v>89.280000000000015</v>
      </c>
      <c r="P5" s="41">
        <f t="shared" si="8"/>
        <v>89.050500000000014</v>
      </c>
      <c r="Q5" s="43"/>
      <c r="R5" s="17"/>
      <c r="S5" s="17"/>
      <c r="T5" s="26" t="s">
        <v>18</v>
      </c>
      <c r="U5" s="17" t="s">
        <v>30</v>
      </c>
      <c r="V5" s="17"/>
      <c r="W5" s="17"/>
      <c r="X5" s="17"/>
      <c r="Y5" s="17"/>
    </row>
    <row r="6" spans="1:25" x14ac:dyDescent="0.3">
      <c r="A6" s="5">
        <f t="shared" si="6"/>
        <v>45921</v>
      </c>
      <c r="B6" s="46" t="s">
        <v>22</v>
      </c>
      <c r="C6" s="18"/>
      <c r="D6" s="19">
        <v>22</v>
      </c>
      <c r="E6" s="19">
        <v>1</v>
      </c>
      <c r="F6" s="7">
        <f t="shared" si="7"/>
        <v>22</v>
      </c>
      <c r="G6" s="25">
        <f t="shared" si="3"/>
        <v>89.050500000000014</v>
      </c>
      <c r="H6" s="51">
        <v>4</v>
      </c>
      <c r="I6" s="52">
        <v>0.09</v>
      </c>
      <c r="J6" s="21">
        <f t="shared" si="4"/>
        <v>0.36</v>
      </c>
      <c r="K6" s="11">
        <f t="shared" si="0"/>
        <v>110.69050000000001</v>
      </c>
      <c r="L6" s="11">
        <f t="shared" ref="L6:L66" si="9">K6*100/$U$2</f>
        <v>92.242083333333341</v>
      </c>
      <c r="M6" s="2">
        <f t="shared" si="1"/>
        <v>60</v>
      </c>
      <c r="N6" s="10">
        <f t="shared" si="2"/>
        <v>50.690500000000014</v>
      </c>
      <c r="O6" s="49">
        <f t="shared" si="5"/>
        <v>89.050500000000014</v>
      </c>
      <c r="P6" s="41">
        <f t="shared" si="8"/>
        <v>110.69050000000001</v>
      </c>
      <c r="Q6" s="43"/>
      <c r="R6" s="17"/>
      <c r="S6" s="17"/>
      <c r="T6" s="27" t="s">
        <v>18</v>
      </c>
      <c r="U6" s="17" t="s">
        <v>31</v>
      </c>
      <c r="V6" s="17"/>
      <c r="W6" s="17"/>
      <c r="X6" s="17"/>
      <c r="Y6" s="17"/>
    </row>
    <row r="7" spans="1:25" x14ac:dyDescent="0.3">
      <c r="A7" s="5">
        <f t="shared" si="6"/>
        <v>45922</v>
      </c>
      <c r="B7" s="46" t="s">
        <v>22</v>
      </c>
      <c r="C7" s="18"/>
      <c r="D7" s="19"/>
      <c r="E7" s="19">
        <v>1</v>
      </c>
      <c r="F7" s="7">
        <f t="shared" si="7"/>
        <v>0</v>
      </c>
      <c r="G7" s="25">
        <f t="shared" si="3"/>
        <v>110.69050000000001</v>
      </c>
      <c r="H7" s="51">
        <v>4.2</v>
      </c>
      <c r="I7" s="52">
        <v>0.09</v>
      </c>
      <c r="J7" s="21">
        <f>H7*I7</f>
        <v>0.378</v>
      </c>
      <c r="K7" s="11">
        <f t="shared" si="0"/>
        <v>110.31250000000001</v>
      </c>
      <c r="L7" s="11">
        <f>K7*100/$U$2</f>
        <v>91.927083333333343</v>
      </c>
      <c r="M7" s="2">
        <f t="shared" si="1"/>
        <v>60</v>
      </c>
      <c r="N7" s="10">
        <f t="shared" si="2"/>
        <v>50.312500000000014</v>
      </c>
      <c r="O7" s="49">
        <f t="shared" si="5"/>
        <v>110.69050000000001</v>
      </c>
      <c r="P7" s="41">
        <f t="shared" si="8"/>
        <v>110.31250000000001</v>
      </c>
      <c r="Q7" s="43"/>
      <c r="R7" s="17"/>
      <c r="S7" s="17"/>
      <c r="T7" s="17"/>
      <c r="U7" s="17"/>
      <c r="V7" s="17"/>
      <c r="W7" s="17"/>
      <c r="X7" s="17"/>
      <c r="Y7" s="17"/>
    </row>
    <row r="8" spans="1:25" x14ac:dyDescent="0.3">
      <c r="A8" s="5">
        <f t="shared" si="6"/>
        <v>45923</v>
      </c>
      <c r="B8" s="46" t="s">
        <v>22</v>
      </c>
      <c r="C8" s="18"/>
      <c r="D8" s="19"/>
      <c r="E8" s="19">
        <v>1</v>
      </c>
      <c r="F8" s="7">
        <f t="shared" si="7"/>
        <v>0</v>
      </c>
      <c r="G8" s="25">
        <f t="shared" si="3"/>
        <v>110.31250000000001</v>
      </c>
      <c r="H8" s="51">
        <v>1.2</v>
      </c>
      <c r="I8" s="52">
        <v>0.09</v>
      </c>
      <c r="J8" s="21">
        <f t="shared" si="4"/>
        <v>0.108</v>
      </c>
      <c r="K8" s="11">
        <f t="shared" si="0"/>
        <v>110.20450000000001</v>
      </c>
      <c r="L8" s="11">
        <f>K8*100/$U$2</f>
        <v>91.837083333333339</v>
      </c>
      <c r="M8" s="2">
        <f t="shared" si="1"/>
        <v>60</v>
      </c>
      <c r="N8" s="10">
        <f t="shared" si="2"/>
        <v>50.20450000000001</v>
      </c>
      <c r="O8" s="49">
        <f t="shared" si="5"/>
        <v>110.31250000000001</v>
      </c>
      <c r="P8" s="41">
        <f t="shared" si="8"/>
        <v>110.20450000000001</v>
      </c>
      <c r="Q8" s="17"/>
      <c r="R8" s="17"/>
      <c r="S8" s="17"/>
      <c r="T8" s="17"/>
      <c r="U8" s="17"/>
      <c r="V8" s="17"/>
      <c r="W8" s="17"/>
      <c r="X8" s="17"/>
      <c r="Y8" s="17"/>
    </row>
    <row r="9" spans="1:25" x14ac:dyDescent="0.3">
      <c r="A9" s="5">
        <f t="shared" si="6"/>
        <v>45924</v>
      </c>
      <c r="B9" s="46" t="s">
        <v>22</v>
      </c>
      <c r="C9" s="18"/>
      <c r="D9" s="19"/>
      <c r="E9" s="19">
        <v>1</v>
      </c>
      <c r="F9" s="7">
        <f>D9*E9</f>
        <v>0</v>
      </c>
      <c r="G9" s="25">
        <f t="shared" si="3"/>
        <v>110.20450000000001</v>
      </c>
      <c r="H9" s="51">
        <v>2.7</v>
      </c>
      <c r="I9" s="52">
        <v>0.09</v>
      </c>
      <c r="J9" s="21">
        <f t="shared" si="4"/>
        <v>0.24299999999999999</v>
      </c>
      <c r="K9" s="11">
        <f t="shared" si="0"/>
        <v>109.96150000000002</v>
      </c>
      <c r="L9" s="11">
        <f>K9*100/$U$2</f>
        <v>91.634583333333339</v>
      </c>
      <c r="M9" s="2">
        <f t="shared" si="1"/>
        <v>60</v>
      </c>
      <c r="N9" s="10">
        <f t="shared" si="2"/>
        <v>49.961500000000015</v>
      </c>
      <c r="O9" s="49">
        <f t="shared" si="5"/>
        <v>110.20450000000001</v>
      </c>
      <c r="P9" s="41">
        <f>IF(V9+F9+O9-J9&gt;$U$2,$U$2,(IF(V9+F9+O9-J9&lt;0,0,V9+F9+O9-J9)))</f>
        <v>109.96150000000002</v>
      </c>
      <c r="Q9" s="17"/>
      <c r="R9" s="17"/>
      <c r="S9" s="17"/>
      <c r="U9" s="17"/>
      <c r="V9" s="17"/>
      <c r="W9" s="17"/>
      <c r="X9" s="17"/>
      <c r="Y9" s="17"/>
    </row>
    <row r="10" spans="1:25" x14ac:dyDescent="0.3">
      <c r="A10" s="5">
        <f t="shared" si="6"/>
        <v>45925</v>
      </c>
      <c r="B10" s="46" t="s">
        <v>22</v>
      </c>
      <c r="C10" s="18"/>
      <c r="D10" s="19"/>
      <c r="E10" s="19">
        <v>1</v>
      </c>
      <c r="F10" s="7">
        <f>D10*E10</f>
        <v>0</v>
      </c>
      <c r="G10" s="25">
        <f t="shared" si="3"/>
        <v>109.96150000000002</v>
      </c>
      <c r="H10" s="51">
        <v>3.6</v>
      </c>
      <c r="I10" s="52">
        <v>0.14000000000000001</v>
      </c>
      <c r="J10" s="21">
        <f>H10*I10</f>
        <v>0.50400000000000011</v>
      </c>
      <c r="K10" s="11">
        <f t="shared" si="0"/>
        <v>109.45750000000001</v>
      </c>
      <c r="L10" s="11">
        <f>K10*100/$U$2</f>
        <v>91.214583333333351</v>
      </c>
      <c r="M10" s="2">
        <f t="shared" si="1"/>
        <v>60</v>
      </c>
      <c r="N10" s="10">
        <f t="shared" si="2"/>
        <v>49.45750000000001</v>
      </c>
      <c r="O10" s="49">
        <f t="shared" si="5"/>
        <v>109.96150000000002</v>
      </c>
      <c r="P10" s="41">
        <f t="shared" si="8"/>
        <v>109.45750000000001</v>
      </c>
      <c r="Q10" s="17"/>
      <c r="R10" s="17"/>
      <c r="S10" s="17"/>
      <c r="T10" s="1"/>
      <c r="U10" s="1"/>
      <c r="V10" s="17"/>
      <c r="W10" s="17"/>
      <c r="X10" s="17"/>
      <c r="Y10" s="17"/>
    </row>
    <row r="11" spans="1:25" x14ac:dyDescent="0.3">
      <c r="A11" s="5">
        <f t="shared" si="6"/>
        <v>45926</v>
      </c>
      <c r="B11" s="46" t="s">
        <v>22</v>
      </c>
      <c r="C11" s="18"/>
      <c r="D11" s="19"/>
      <c r="E11" s="19">
        <v>1</v>
      </c>
      <c r="F11" s="7">
        <f t="shared" si="7"/>
        <v>0</v>
      </c>
      <c r="G11" s="25">
        <f t="shared" si="3"/>
        <v>109.45750000000001</v>
      </c>
      <c r="H11" s="51">
        <v>4.5999999999999996</v>
      </c>
      <c r="I11" s="52">
        <v>0.14000000000000001</v>
      </c>
      <c r="J11" s="21">
        <f t="shared" si="4"/>
        <v>0.64400000000000002</v>
      </c>
      <c r="K11" s="11">
        <f t="shared" si="0"/>
        <v>108.8135</v>
      </c>
      <c r="L11" s="11">
        <f t="shared" si="9"/>
        <v>90.677916666666675</v>
      </c>
      <c r="M11" s="2">
        <f t="shared" si="1"/>
        <v>60</v>
      </c>
      <c r="N11" s="10">
        <f t="shared" si="2"/>
        <v>48.813500000000005</v>
      </c>
      <c r="O11" s="49">
        <f t="shared" si="5"/>
        <v>109.45750000000001</v>
      </c>
      <c r="P11" s="41">
        <f t="shared" si="8"/>
        <v>108.8135</v>
      </c>
      <c r="Q11" s="17"/>
      <c r="R11" s="17"/>
      <c r="S11" s="17"/>
      <c r="T11" s="17"/>
      <c r="V11" s="17"/>
      <c r="W11" s="17"/>
      <c r="X11" s="17"/>
      <c r="Y11" s="17"/>
    </row>
    <row r="12" spans="1:25" x14ac:dyDescent="0.3">
      <c r="A12" s="5">
        <f t="shared" si="6"/>
        <v>45927</v>
      </c>
      <c r="B12" s="46" t="s">
        <v>22</v>
      </c>
      <c r="C12" s="18"/>
      <c r="D12" s="19"/>
      <c r="E12" s="19">
        <v>1</v>
      </c>
      <c r="F12" s="7">
        <f t="shared" si="7"/>
        <v>0</v>
      </c>
      <c r="G12" s="25">
        <f t="shared" si="3"/>
        <v>108.8135</v>
      </c>
      <c r="H12" s="51">
        <v>4</v>
      </c>
      <c r="I12" s="52">
        <v>0.14000000000000001</v>
      </c>
      <c r="J12" s="21">
        <f t="shared" si="4"/>
        <v>0.56000000000000005</v>
      </c>
      <c r="K12" s="11">
        <f t="shared" si="0"/>
        <v>108.2535</v>
      </c>
      <c r="L12" s="11">
        <f t="shared" si="9"/>
        <v>90.211250000000007</v>
      </c>
      <c r="M12" s="2">
        <f t="shared" si="1"/>
        <v>60</v>
      </c>
      <c r="N12" s="10">
        <f t="shared" si="2"/>
        <v>48.253500000000003</v>
      </c>
      <c r="O12" s="49">
        <f t="shared" si="5"/>
        <v>108.8135</v>
      </c>
      <c r="P12" s="41">
        <f t="shared" si="8"/>
        <v>108.2535</v>
      </c>
      <c r="Q12" s="17"/>
      <c r="R12" s="17"/>
      <c r="S12" s="17"/>
      <c r="T12" s="17"/>
      <c r="V12" s="17"/>
      <c r="W12" s="17"/>
      <c r="X12" s="17"/>
      <c r="Y12" s="17"/>
    </row>
    <row r="13" spans="1:25" x14ac:dyDescent="0.3">
      <c r="A13" s="5">
        <f t="shared" si="6"/>
        <v>45928</v>
      </c>
      <c r="B13" s="46" t="s">
        <v>22</v>
      </c>
      <c r="C13" s="18"/>
      <c r="D13" s="19"/>
      <c r="E13" s="19">
        <v>1</v>
      </c>
      <c r="F13" s="7">
        <f t="shared" si="7"/>
        <v>0</v>
      </c>
      <c r="G13" s="25">
        <f t="shared" si="3"/>
        <v>108.2535</v>
      </c>
      <c r="H13" s="51">
        <v>4.6500000000000004</v>
      </c>
      <c r="I13" s="52">
        <v>0.14000000000000001</v>
      </c>
      <c r="J13" s="21">
        <f t="shared" si="4"/>
        <v>0.65100000000000013</v>
      </c>
      <c r="K13" s="11">
        <f t="shared" ref="K13:K67" si="10">IF(C13+F13+G13-J13&gt;$U$2,$U$2,(IF(C13+F13+G13-J13&lt;0,0,C13+F13+G13-J13)))</f>
        <v>107.60250000000001</v>
      </c>
      <c r="L13" s="11">
        <f t="shared" si="9"/>
        <v>89.668750000000003</v>
      </c>
      <c r="M13" s="2">
        <f t="shared" si="1"/>
        <v>60</v>
      </c>
      <c r="N13" s="10">
        <f t="shared" ref="N13:N66" si="11">K13-M13</f>
        <v>47.602500000000006</v>
      </c>
      <c r="O13" s="49">
        <f t="shared" si="5"/>
        <v>108.2535</v>
      </c>
      <c r="P13" s="41">
        <f t="shared" si="8"/>
        <v>107.60250000000001</v>
      </c>
      <c r="Q13" s="17"/>
      <c r="R13" s="17"/>
      <c r="S13" s="17"/>
      <c r="U13" s="17"/>
      <c r="V13" s="17"/>
      <c r="W13" s="17"/>
      <c r="X13" s="17"/>
      <c r="Y13" s="17"/>
    </row>
    <row r="14" spans="1:25" x14ac:dyDescent="0.3">
      <c r="A14" s="5">
        <f t="shared" si="6"/>
        <v>45929</v>
      </c>
      <c r="B14" s="46" t="s">
        <v>22</v>
      </c>
      <c r="C14" s="18"/>
      <c r="D14" s="19"/>
      <c r="E14" s="19">
        <v>1</v>
      </c>
      <c r="F14" s="7">
        <f t="shared" si="7"/>
        <v>0</v>
      </c>
      <c r="G14" s="25">
        <f t="shared" ref="G14:G18" si="12">K13</f>
        <v>107.60250000000001</v>
      </c>
      <c r="H14" s="51">
        <v>3.6</v>
      </c>
      <c r="I14" s="52">
        <v>0.14000000000000001</v>
      </c>
      <c r="J14" s="21">
        <f t="shared" si="4"/>
        <v>0.50400000000000011</v>
      </c>
      <c r="K14" s="11">
        <f t="shared" si="10"/>
        <v>107.0985</v>
      </c>
      <c r="L14" s="11">
        <f t="shared" si="9"/>
        <v>89.248750000000001</v>
      </c>
      <c r="M14" s="2">
        <f t="shared" si="1"/>
        <v>60</v>
      </c>
      <c r="N14" s="10">
        <f t="shared" si="11"/>
        <v>47.098500000000001</v>
      </c>
      <c r="O14" s="49">
        <f t="shared" si="5"/>
        <v>107.60250000000001</v>
      </c>
      <c r="P14" s="41">
        <f t="shared" si="8"/>
        <v>107.0985</v>
      </c>
      <c r="Q14" s="17"/>
      <c r="R14" s="17"/>
      <c r="S14" s="17"/>
      <c r="T14" s="1"/>
      <c r="U14" s="17"/>
      <c r="V14" s="17"/>
      <c r="W14" s="17"/>
      <c r="X14" s="17"/>
      <c r="Y14" s="17"/>
    </row>
    <row r="15" spans="1:25" x14ac:dyDescent="0.3">
      <c r="A15" s="5">
        <f t="shared" si="6"/>
        <v>45930</v>
      </c>
      <c r="B15" s="46" t="s">
        <v>22</v>
      </c>
      <c r="C15" s="18"/>
      <c r="D15" s="19"/>
      <c r="E15" s="19">
        <v>1</v>
      </c>
      <c r="F15" s="7">
        <f t="shared" si="7"/>
        <v>0</v>
      </c>
      <c r="G15" s="25">
        <f t="shared" si="12"/>
        <v>107.0985</v>
      </c>
      <c r="H15" s="51">
        <v>4.5</v>
      </c>
      <c r="I15" s="52">
        <v>0.14000000000000001</v>
      </c>
      <c r="J15" s="21">
        <f t="shared" si="4"/>
        <v>0.63000000000000012</v>
      </c>
      <c r="K15" s="11">
        <f t="shared" si="10"/>
        <v>106.46850000000001</v>
      </c>
      <c r="L15" s="11">
        <f t="shared" si="9"/>
        <v>88.72375000000001</v>
      </c>
      <c r="M15" s="2">
        <f t="shared" si="1"/>
        <v>60</v>
      </c>
      <c r="N15" s="10">
        <f t="shared" si="11"/>
        <v>46.468500000000006</v>
      </c>
      <c r="O15" s="49">
        <f t="shared" si="5"/>
        <v>107.0985</v>
      </c>
      <c r="P15" s="41">
        <f t="shared" si="8"/>
        <v>106.46850000000001</v>
      </c>
      <c r="Q15" s="17"/>
      <c r="R15" s="17"/>
      <c r="S15" s="17"/>
      <c r="T15" s="17"/>
      <c r="U15" s="17"/>
      <c r="V15" s="17"/>
      <c r="W15" s="17"/>
      <c r="X15" s="17"/>
      <c r="Y15" s="17"/>
    </row>
    <row r="16" spans="1:25" x14ac:dyDescent="0.3">
      <c r="A16" s="5">
        <f t="shared" si="6"/>
        <v>45931</v>
      </c>
      <c r="B16" s="46" t="s">
        <v>22</v>
      </c>
      <c r="C16" s="18"/>
      <c r="D16" s="19"/>
      <c r="E16" s="19">
        <v>1</v>
      </c>
      <c r="F16" s="7">
        <f t="shared" si="7"/>
        <v>0</v>
      </c>
      <c r="G16" s="25">
        <f t="shared" si="12"/>
        <v>106.46850000000001</v>
      </c>
      <c r="H16" s="51">
        <v>4.5</v>
      </c>
      <c r="I16" s="52">
        <v>0.18</v>
      </c>
      <c r="J16" s="21">
        <f t="shared" si="4"/>
        <v>0.80999999999999994</v>
      </c>
      <c r="K16" s="11">
        <f>IF(C16+F16+G16-J16&gt;$U$2,$U$2,(IF(C16+F16+G16-J16&lt;0,0,C16+F16+G16-J16)))</f>
        <v>105.6585</v>
      </c>
      <c r="L16" s="11">
        <f t="shared" si="9"/>
        <v>88.048749999999998</v>
      </c>
      <c r="M16" s="2">
        <f t="shared" si="1"/>
        <v>60</v>
      </c>
      <c r="N16" s="10">
        <f t="shared" si="11"/>
        <v>45.658500000000004</v>
      </c>
      <c r="O16" s="49">
        <f t="shared" si="5"/>
        <v>106.46850000000001</v>
      </c>
      <c r="P16" s="41">
        <f t="shared" si="8"/>
        <v>105.6585</v>
      </c>
      <c r="Q16" s="17"/>
      <c r="R16" s="17"/>
      <c r="S16" s="17"/>
      <c r="T16" s="17"/>
      <c r="U16" s="17"/>
      <c r="V16" s="17"/>
      <c r="W16" s="17"/>
      <c r="X16" s="17"/>
      <c r="Y16" s="17"/>
    </row>
    <row r="17" spans="1:25" x14ac:dyDescent="0.3">
      <c r="A17" s="5">
        <f t="shared" si="6"/>
        <v>45932</v>
      </c>
      <c r="B17" s="46" t="s">
        <v>22</v>
      </c>
      <c r="C17" s="18"/>
      <c r="D17" s="19"/>
      <c r="E17" s="19">
        <v>1</v>
      </c>
      <c r="F17" s="7">
        <f t="shared" si="7"/>
        <v>0</v>
      </c>
      <c r="G17" s="25">
        <f t="shared" si="12"/>
        <v>105.6585</v>
      </c>
      <c r="H17" s="51">
        <v>2.5</v>
      </c>
      <c r="I17" s="52">
        <v>0.18</v>
      </c>
      <c r="J17" s="21">
        <f t="shared" si="4"/>
        <v>0.44999999999999996</v>
      </c>
      <c r="K17" s="11">
        <f t="shared" si="10"/>
        <v>105.2085</v>
      </c>
      <c r="L17" s="11">
        <f t="shared" si="9"/>
        <v>87.673749999999998</v>
      </c>
      <c r="M17" s="2">
        <f t="shared" si="1"/>
        <v>60</v>
      </c>
      <c r="N17" s="10">
        <f t="shared" si="11"/>
        <v>45.208500000000001</v>
      </c>
      <c r="O17" s="49">
        <f t="shared" si="5"/>
        <v>105.6585</v>
      </c>
      <c r="P17" s="41">
        <f t="shared" si="8"/>
        <v>105.2085</v>
      </c>
      <c r="Q17" s="17"/>
      <c r="R17" s="17"/>
      <c r="S17" s="17"/>
      <c r="T17" s="17"/>
      <c r="U17" s="17"/>
      <c r="V17" s="17"/>
      <c r="W17" s="17"/>
      <c r="X17" s="17"/>
      <c r="Y17" s="17"/>
    </row>
    <row r="18" spans="1:25" x14ac:dyDescent="0.3">
      <c r="A18" s="5">
        <f t="shared" si="6"/>
        <v>45933</v>
      </c>
      <c r="B18" s="46" t="s">
        <v>22</v>
      </c>
      <c r="C18" s="18"/>
      <c r="D18" s="28"/>
      <c r="E18" s="19">
        <v>1</v>
      </c>
      <c r="F18" s="7">
        <f t="shared" si="7"/>
        <v>0</v>
      </c>
      <c r="G18" s="25">
        <f t="shared" si="12"/>
        <v>105.2085</v>
      </c>
      <c r="H18" s="51">
        <v>4</v>
      </c>
      <c r="I18" s="52">
        <v>0.18</v>
      </c>
      <c r="J18" s="21">
        <f t="shared" si="4"/>
        <v>0.72</v>
      </c>
      <c r="K18" s="11">
        <f t="shared" ref="K18:K26" si="13">IF(C18+F18+G18-J18&gt;$U$2,$U$2,(IF(C18+F18+G18-J18&lt;0,0,C18+F18+G18-J18)))</f>
        <v>104.4885</v>
      </c>
      <c r="L18" s="11">
        <f t="shared" si="9"/>
        <v>87.073750000000004</v>
      </c>
      <c r="M18" s="2">
        <f t="shared" si="1"/>
        <v>60</v>
      </c>
      <c r="N18" s="10">
        <f t="shared" si="11"/>
        <v>44.488500000000002</v>
      </c>
      <c r="O18" s="49">
        <f t="shared" si="5"/>
        <v>105.2085</v>
      </c>
      <c r="P18" s="41">
        <f t="shared" si="8"/>
        <v>104.4885</v>
      </c>
      <c r="Q18" s="17"/>
      <c r="R18" s="17"/>
      <c r="S18" s="17"/>
      <c r="T18" s="17"/>
      <c r="U18" s="17"/>
      <c r="V18" s="17"/>
      <c r="W18" s="17"/>
      <c r="X18" s="17"/>
      <c r="Y18" s="17"/>
    </row>
    <row r="19" spans="1:25" x14ac:dyDescent="0.3">
      <c r="A19" s="5">
        <f t="shared" si="6"/>
        <v>45934</v>
      </c>
      <c r="B19" s="46" t="s">
        <v>22</v>
      </c>
      <c r="C19" s="18"/>
      <c r="D19" s="19"/>
      <c r="E19" s="19">
        <v>1</v>
      </c>
      <c r="F19" s="7">
        <f t="shared" si="7"/>
        <v>0</v>
      </c>
      <c r="G19" s="25">
        <f>K18</f>
        <v>104.4885</v>
      </c>
      <c r="H19" s="51">
        <v>4.5</v>
      </c>
      <c r="I19" s="52">
        <v>0.18</v>
      </c>
      <c r="J19" s="21">
        <f t="shared" si="4"/>
        <v>0.80999999999999994</v>
      </c>
      <c r="K19" s="11">
        <f t="shared" si="13"/>
        <v>103.6785</v>
      </c>
      <c r="L19" s="11">
        <f t="shared" si="9"/>
        <v>86.398750000000007</v>
      </c>
      <c r="M19" s="2">
        <f t="shared" si="1"/>
        <v>60</v>
      </c>
      <c r="N19" s="10">
        <f>K19-M19</f>
        <v>43.6785</v>
      </c>
      <c r="O19" s="49">
        <f t="shared" si="5"/>
        <v>104.4885</v>
      </c>
      <c r="P19" s="41">
        <f t="shared" si="8"/>
        <v>103.6785</v>
      </c>
      <c r="Q19" s="48"/>
      <c r="R19" s="17"/>
      <c r="S19" s="17"/>
      <c r="T19" s="17"/>
      <c r="U19" s="17"/>
      <c r="V19" s="17"/>
      <c r="W19" s="17"/>
      <c r="X19" s="17"/>
      <c r="Y19" s="17"/>
    </row>
    <row r="20" spans="1:25" x14ac:dyDescent="0.3">
      <c r="A20" s="5">
        <f t="shared" si="6"/>
        <v>45935</v>
      </c>
      <c r="B20" s="46" t="s">
        <v>22</v>
      </c>
      <c r="C20" s="18"/>
      <c r="D20" s="19">
        <v>32</v>
      </c>
      <c r="E20" s="19">
        <v>1</v>
      </c>
      <c r="F20" s="7">
        <f t="shared" si="7"/>
        <v>32</v>
      </c>
      <c r="G20" s="25">
        <f>K19</f>
        <v>103.6785</v>
      </c>
      <c r="H20" s="51">
        <v>5</v>
      </c>
      <c r="I20" s="52">
        <v>0.18</v>
      </c>
      <c r="J20" s="21">
        <f t="shared" si="4"/>
        <v>0.89999999999999991</v>
      </c>
      <c r="K20" s="11">
        <f t="shared" si="13"/>
        <v>120</v>
      </c>
      <c r="L20" s="11">
        <f t="shared" si="9"/>
        <v>100</v>
      </c>
      <c r="M20" s="2">
        <f t="shared" si="1"/>
        <v>60</v>
      </c>
      <c r="N20" s="10">
        <f>K20-M20</f>
        <v>60</v>
      </c>
      <c r="O20" s="49">
        <f t="shared" si="5"/>
        <v>103.6785</v>
      </c>
      <c r="P20" s="41">
        <f t="shared" si="8"/>
        <v>120</v>
      </c>
      <c r="Q20" s="48"/>
      <c r="R20" s="17"/>
      <c r="S20" s="17"/>
      <c r="T20" s="17"/>
      <c r="U20" s="17"/>
      <c r="V20" s="17"/>
      <c r="W20" s="17"/>
      <c r="X20" s="17"/>
      <c r="Y20" s="17"/>
    </row>
    <row r="21" spans="1:25" x14ac:dyDescent="0.3">
      <c r="A21" s="5">
        <f t="shared" si="6"/>
        <v>45936</v>
      </c>
      <c r="B21" s="46" t="s">
        <v>22</v>
      </c>
      <c r="C21" s="18"/>
      <c r="D21" s="19"/>
      <c r="E21" s="19">
        <v>1</v>
      </c>
      <c r="F21" s="7">
        <f t="shared" si="7"/>
        <v>0</v>
      </c>
      <c r="G21" s="25">
        <f>K20</f>
        <v>120</v>
      </c>
      <c r="H21" s="51">
        <v>5.2</v>
      </c>
      <c r="I21" s="52">
        <v>0.18</v>
      </c>
      <c r="J21" s="21">
        <f t="shared" si="4"/>
        <v>0.93599999999999994</v>
      </c>
      <c r="K21" s="11">
        <f t="shared" si="13"/>
        <v>119.06399999999999</v>
      </c>
      <c r="L21" s="11">
        <f t="shared" si="9"/>
        <v>99.22</v>
      </c>
      <c r="M21" s="2">
        <f t="shared" si="1"/>
        <v>60</v>
      </c>
      <c r="N21" s="10">
        <f>K21-M21</f>
        <v>59.063999999999993</v>
      </c>
      <c r="O21" s="49">
        <f t="shared" si="5"/>
        <v>120</v>
      </c>
      <c r="P21" s="41">
        <f t="shared" si="8"/>
        <v>119.06399999999999</v>
      </c>
      <c r="Q21" s="48"/>
      <c r="R21" s="17"/>
      <c r="S21" s="17"/>
      <c r="T21" s="17"/>
      <c r="U21" s="17"/>
      <c r="V21" s="17"/>
      <c r="W21" s="17"/>
      <c r="X21" s="17"/>
      <c r="Y21" s="17"/>
    </row>
    <row r="22" spans="1:25" x14ac:dyDescent="0.3">
      <c r="A22" s="5">
        <f t="shared" si="6"/>
        <v>45937</v>
      </c>
      <c r="B22" s="46" t="s">
        <v>22</v>
      </c>
      <c r="C22" s="18"/>
      <c r="D22" s="19"/>
      <c r="E22" s="19">
        <v>1</v>
      </c>
      <c r="F22" s="7">
        <f t="shared" si="7"/>
        <v>0</v>
      </c>
      <c r="G22" s="25">
        <f t="shared" ref="G22:G23" si="14">K21</f>
        <v>119.06399999999999</v>
      </c>
      <c r="H22" s="51">
        <v>5.2</v>
      </c>
      <c r="I22" s="52">
        <v>0.18</v>
      </c>
      <c r="J22" s="21">
        <f t="shared" si="4"/>
        <v>0.93599999999999994</v>
      </c>
      <c r="K22" s="11">
        <f t="shared" si="13"/>
        <v>118.12799999999999</v>
      </c>
      <c r="L22" s="11">
        <f t="shared" si="9"/>
        <v>98.44</v>
      </c>
      <c r="M22" s="2">
        <f t="shared" si="1"/>
        <v>60</v>
      </c>
      <c r="N22" s="10">
        <f>K22-M22</f>
        <v>58.127999999999986</v>
      </c>
      <c r="O22" s="49">
        <f t="shared" si="5"/>
        <v>119.06399999999999</v>
      </c>
      <c r="P22" s="41">
        <f t="shared" si="8"/>
        <v>118.12799999999999</v>
      </c>
      <c r="Q22" s="48"/>
      <c r="T22" s="17"/>
      <c r="U22" s="17"/>
      <c r="V22" s="17"/>
      <c r="W22" s="17"/>
      <c r="X22" s="17"/>
      <c r="Y22" s="17"/>
    </row>
    <row r="23" spans="1:25" x14ac:dyDescent="0.3">
      <c r="A23" s="5">
        <f t="shared" si="6"/>
        <v>45938</v>
      </c>
      <c r="B23" s="46" t="s">
        <v>22</v>
      </c>
      <c r="C23" s="18"/>
      <c r="D23" s="28"/>
      <c r="E23" s="19">
        <v>1</v>
      </c>
      <c r="F23" s="7">
        <f t="shared" si="7"/>
        <v>0</v>
      </c>
      <c r="G23" s="25">
        <f t="shared" si="14"/>
        <v>118.12799999999999</v>
      </c>
      <c r="H23" s="51">
        <v>4.8</v>
      </c>
      <c r="I23" s="52">
        <v>0.18</v>
      </c>
      <c r="J23" s="21">
        <f t="shared" si="4"/>
        <v>0.86399999999999999</v>
      </c>
      <c r="K23" s="11">
        <f t="shared" si="13"/>
        <v>117.26399999999998</v>
      </c>
      <c r="L23" s="11">
        <f t="shared" si="9"/>
        <v>97.719999999999985</v>
      </c>
      <c r="M23" s="2">
        <f t="shared" si="1"/>
        <v>60</v>
      </c>
      <c r="N23" s="10">
        <f>K23-M23</f>
        <v>57.263999999999982</v>
      </c>
      <c r="O23" s="49">
        <f t="shared" si="5"/>
        <v>118.12799999999999</v>
      </c>
      <c r="P23" s="41">
        <f t="shared" si="8"/>
        <v>117.26399999999998</v>
      </c>
      <c r="Q23" s="48"/>
      <c r="R23" s="17"/>
      <c r="S23" s="17"/>
      <c r="T23" s="17"/>
      <c r="U23" s="17"/>
      <c r="V23" s="17"/>
      <c r="W23" s="17"/>
      <c r="X23" s="17"/>
      <c r="Y23" s="17"/>
    </row>
    <row r="24" spans="1:25" x14ac:dyDescent="0.3">
      <c r="A24" s="5">
        <f t="shared" si="6"/>
        <v>45939</v>
      </c>
      <c r="B24" s="46" t="s">
        <v>22</v>
      </c>
      <c r="C24" s="18"/>
      <c r="D24" s="28"/>
      <c r="E24" s="19">
        <v>1</v>
      </c>
      <c r="F24" s="7">
        <f t="shared" si="7"/>
        <v>0</v>
      </c>
      <c r="G24" s="25">
        <f>K23</f>
        <v>117.26399999999998</v>
      </c>
      <c r="H24" s="51">
        <v>3</v>
      </c>
      <c r="I24" s="52">
        <v>0.25</v>
      </c>
      <c r="J24" s="21">
        <f t="shared" si="4"/>
        <v>0.75</v>
      </c>
      <c r="K24" s="11">
        <f t="shared" si="13"/>
        <v>116.51399999999998</v>
      </c>
      <c r="L24" s="11">
        <f t="shared" si="9"/>
        <v>97.094999999999985</v>
      </c>
      <c r="M24" s="2">
        <f t="shared" si="1"/>
        <v>60</v>
      </c>
      <c r="N24" s="10">
        <f t="shared" si="11"/>
        <v>56.513999999999982</v>
      </c>
      <c r="O24" s="49">
        <f t="shared" si="5"/>
        <v>117.26399999999998</v>
      </c>
      <c r="P24" s="41">
        <f t="shared" si="8"/>
        <v>116.51399999999998</v>
      </c>
      <c r="Q24" s="48"/>
      <c r="R24" s="17"/>
      <c r="S24" s="17"/>
      <c r="T24" s="17"/>
      <c r="U24" s="17"/>
      <c r="V24" s="17"/>
      <c r="W24" s="17"/>
      <c r="X24" s="17"/>
      <c r="Y24" s="17"/>
    </row>
    <row r="25" spans="1:25" x14ac:dyDescent="0.3">
      <c r="A25" s="5">
        <f t="shared" si="6"/>
        <v>45940</v>
      </c>
      <c r="B25" s="46" t="s">
        <v>22</v>
      </c>
      <c r="C25" s="18"/>
      <c r="D25" s="19"/>
      <c r="E25" s="19">
        <v>1</v>
      </c>
      <c r="F25" s="7">
        <f t="shared" si="7"/>
        <v>0</v>
      </c>
      <c r="G25" s="25">
        <f>K24</f>
        <v>116.51399999999998</v>
      </c>
      <c r="H25" s="51">
        <v>5.2</v>
      </c>
      <c r="I25" s="52">
        <v>0.25</v>
      </c>
      <c r="J25" s="21">
        <f>H25*I25</f>
        <v>1.3</v>
      </c>
      <c r="K25" s="11">
        <f t="shared" si="13"/>
        <v>115.21399999999998</v>
      </c>
      <c r="L25" s="11">
        <f t="shared" si="9"/>
        <v>96.011666666666642</v>
      </c>
      <c r="M25" s="2">
        <f t="shared" si="1"/>
        <v>60</v>
      </c>
      <c r="N25" s="10">
        <f t="shared" si="11"/>
        <v>55.213999999999984</v>
      </c>
      <c r="O25" s="49">
        <f t="shared" si="5"/>
        <v>116.51399999999998</v>
      </c>
      <c r="P25" s="41">
        <f t="shared" si="8"/>
        <v>115.21399999999998</v>
      </c>
      <c r="Q25" s="43"/>
      <c r="R25" s="17"/>
      <c r="S25" s="17"/>
      <c r="T25" s="17"/>
      <c r="U25" s="17"/>
      <c r="V25" s="17"/>
      <c r="W25" s="17"/>
      <c r="X25" s="17"/>
      <c r="Y25" s="17"/>
    </row>
    <row r="26" spans="1:25" x14ac:dyDescent="0.3">
      <c r="A26" s="5">
        <f t="shared" si="6"/>
        <v>45941</v>
      </c>
      <c r="B26" s="46" t="s">
        <v>22</v>
      </c>
      <c r="C26" s="18"/>
      <c r="D26" s="19"/>
      <c r="E26" s="19">
        <v>1</v>
      </c>
      <c r="F26" s="7">
        <f t="shared" si="7"/>
        <v>0</v>
      </c>
      <c r="G26" s="25">
        <f>K25</f>
        <v>115.21399999999998</v>
      </c>
      <c r="H26" s="51">
        <v>5.0999999999999996</v>
      </c>
      <c r="I26" s="52">
        <v>0.25</v>
      </c>
      <c r="J26" s="21">
        <f t="shared" si="4"/>
        <v>1.2749999999999999</v>
      </c>
      <c r="K26" s="11">
        <f t="shared" si="13"/>
        <v>113.93899999999998</v>
      </c>
      <c r="L26" s="11">
        <f t="shared" si="9"/>
        <v>94.949166666666642</v>
      </c>
      <c r="M26" s="2">
        <f t="shared" si="1"/>
        <v>60</v>
      </c>
      <c r="N26" s="10">
        <f t="shared" si="11"/>
        <v>53.938999999999979</v>
      </c>
      <c r="O26" s="49">
        <f t="shared" si="5"/>
        <v>115.21399999999998</v>
      </c>
      <c r="P26" s="41">
        <f t="shared" si="8"/>
        <v>113.93899999999998</v>
      </c>
      <c r="T26" s="17"/>
      <c r="U26" s="17"/>
      <c r="V26" s="17"/>
      <c r="W26" s="17"/>
      <c r="X26" s="17"/>
      <c r="Y26" s="17"/>
    </row>
    <row r="27" spans="1:25" x14ac:dyDescent="0.3">
      <c r="A27" s="5">
        <f t="shared" si="6"/>
        <v>45942</v>
      </c>
      <c r="B27" s="46" t="s">
        <v>22</v>
      </c>
      <c r="C27" s="18"/>
      <c r="D27" s="19"/>
      <c r="E27" s="19">
        <v>1</v>
      </c>
      <c r="F27" s="7">
        <f t="shared" si="7"/>
        <v>0</v>
      </c>
      <c r="G27" s="25">
        <f t="shared" ref="G27:G67" si="15">K26</f>
        <v>113.93899999999998</v>
      </c>
      <c r="H27" s="56">
        <v>5</v>
      </c>
      <c r="I27" s="52">
        <v>0.25</v>
      </c>
      <c r="J27" s="21">
        <f t="shared" si="4"/>
        <v>1.25</v>
      </c>
      <c r="K27" s="11">
        <f t="shared" si="10"/>
        <v>112.68899999999998</v>
      </c>
      <c r="L27" s="11">
        <f t="shared" si="9"/>
        <v>93.907499999999985</v>
      </c>
      <c r="M27" s="2">
        <f t="shared" si="1"/>
        <v>60</v>
      </c>
      <c r="N27" s="10">
        <f t="shared" si="11"/>
        <v>52.688999999999979</v>
      </c>
      <c r="O27" s="49">
        <f t="shared" si="5"/>
        <v>113.93899999999998</v>
      </c>
      <c r="P27" s="41">
        <f t="shared" si="8"/>
        <v>112.68899999999998</v>
      </c>
      <c r="Q27" s="17"/>
      <c r="R27" s="17"/>
      <c r="S27" s="17"/>
      <c r="T27" s="17"/>
      <c r="U27" s="17"/>
      <c r="V27" s="17"/>
      <c r="W27" s="17"/>
      <c r="X27" s="17"/>
      <c r="Y27" s="17"/>
    </row>
    <row r="28" spans="1:25" x14ac:dyDescent="0.3">
      <c r="A28" s="5">
        <f t="shared" si="6"/>
        <v>45943</v>
      </c>
      <c r="B28" s="46" t="s">
        <v>22</v>
      </c>
      <c r="C28" s="18"/>
      <c r="D28" s="19"/>
      <c r="E28" s="19">
        <v>1</v>
      </c>
      <c r="F28" s="7">
        <f t="shared" si="7"/>
        <v>0</v>
      </c>
      <c r="G28" s="25">
        <f t="shared" si="15"/>
        <v>112.68899999999998</v>
      </c>
      <c r="H28" s="56">
        <v>5</v>
      </c>
      <c r="I28" s="52">
        <v>0.25</v>
      </c>
      <c r="J28" s="21">
        <f t="shared" si="4"/>
        <v>1.25</v>
      </c>
      <c r="K28" s="11">
        <f>IF(C28+F28+G28-J28&gt;$U$2,$U$2,(IF(C28+F28+G28-J28&lt;0,0,C28+F28+G28-J28)))</f>
        <v>111.43899999999998</v>
      </c>
      <c r="L28" s="11">
        <f t="shared" si="9"/>
        <v>92.865833333333313</v>
      </c>
      <c r="M28" s="2">
        <f t="shared" si="1"/>
        <v>60</v>
      </c>
      <c r="N28" s="10">
        <f t="shared" si="11"/>
        <v>51.438999999999979</v>
      </c>
      <c r="O28" s="49">
        <f t="shared" si="5"/>
        <v>112.68899999999998</v>
      </c>
      <c r="P28" s="41">
        <f t="shared" si="8"/>
        <v>111.43899999999998</v>
      </c>
      <c r="Q28" s="17"/>
      <c r="R28" s="17"/>
      <c r="S28" s="17"/>
      <c r="T28" s="17"/>
      <c r="U28" s="17"/>
      <c r="V28" s="17"/>
      <c r="W28" s="17"/>
      <c r="X28" s="17"/>
      <c r="Y28" s="17"/>
    </row>
    <row r="29" spans="1:25" x14ac:dyDescent="0.3">
      <c r="A29" s="5">
        <f t="shared" si="6"/>
        <v>45944</v>
      </c>
      <c r="B29" s="46" t="s">
        <v>22</v>
      </c>
      <c r="C29" s="18"/>
      <c r="D29" s="19"/>
      <c r="E29" s="19">
        <v>1</v>
      </c>
      <c r="F29" s="7">
        <f t="shared" si="7"/>
        <v>0</v>
      </c>
      <c r="G29" s="25">
        <f t="shared" si="15"/>
        <v>111.43899999999998</v>
      </c>
      <c r="H29" s="56">
        <v>5</v>
      </c>
      <c r="I29" s="52">
        <v>0.25</v>
      </c>
      <c r="J29" s="21">
        <f t="shared" si="4"/>
        <v>1.25</v>
      </c>
      <c r="K29" s="11">
        <f t="shared" si="10"/>
        <v>110.18899999999998</v>
      </c>
      <c r="L29" s="11">
        <f t="shared" si="9"/>
        <v>91.824166666666642</v>
      </c>
      <c r="M29" s="2">
        <f t="shared" si="1"/>
        <v>60</v>
      </c>
      <c r="N29" s="10">
        <f t="shared" si="11"/>
        <v>50.188999999999979</v>
      </c>
      <c r="O29" s="49">
        <f t="shared" si="5"/>
        <v>111.43899999999998</v>
      </c>
      <c r="P29" s="41">
        <f t="shared" si="8"/>
        <v>110.18899999999998</v>
      </c>
      <c r="Q29" s="17"/>
      <c r="R29" s="17"/>
      <c r="S29" s="17"/>
      <c r="T29" s="17"/>
      <c r="U29" s="17"/>
      <c r="V29" s="17"/>
      <c r="W29" s="17"/>
      <c r="X29" s="17"/>
      <c r="Y29" s="17"/>
    </row>
    <row r="30" spans="1:25" x14ac:dyDescent="0.3">
      <c r="A30" s="5">
        <f t="shared" si="6"/>
        <v>45945</v>
      </c>
      <c r="B30" s="46" t="s">
        <v>22</v>
      </c>
      <c r="C30" s="18"/>
      <c r="D30" s="19"/>
      <c r="E30" s="19">
        <v>1</v>
      </c>
      <c r="F30" s="7">
        <f t="shared" si="7"/>
        <v>0</v>
      </c>
      <c r="G30" s="25">
        <f t="shared" si="15"/>
        <v>110.18899999999998</v>
      </c>
      <c r="H30" s="56">
        <v>5</v>
      </c>
      <c r="I30" s="52">
        <v>0.25</v>
      </c>
      <c r="J30" s="21">
        <f t="shared" si="4"/>
        <v>1.25</v>
      </c>
      <c r="K30" s="11">
        <f t="shared" si="10"/>
        <v>108.93899999999998</v>
      </c>
      <c r="L30" s="11">
        <f t="shared" si="9"/>
        <v>90.782499999999985</v>
      </c>
      <c r="M30" s="2">
        <f t="shared" si="1"/>
        <v>60</v>
      </c>
      <c r="N30" s="10">
        <f t="shared" si="11"/>
        <v>48.938999999999979</v>
      </c>
      <c r="O30" s="49">
        <f t="shared" si="5"/>
        <v>110.18899999999998</v>
      </c>
      <c r="P30" s="41">
        <f t="shared" si="8"/>
        <v>108.93899999999998</v>
      </c>
      <c r="Q30" s="17"/>
      <c r="R30" s="17"/>
      <c r="S30" s="17"/>
      <c r="T30" s="17"/>
      <c r="U30" s="17"/>
      <c r="V30" s="17"/>
      <c r="W30" s="17"/>
      <c r="X30" s="17"/>
      <c r="Y30" s="17"/>
    </row>
    <row r="31" spans="1:25" x14ac:dyDescent="0.3">
      <c r="A31" s="5">
        <f t="shared" si="6"/>
        <v>45946</v>
      </c>
      <c r="B31" s="46" t="s">
        <v>22</v>
      </c>
      <c r="C31" s="18">
        <v>20</v>
      </c>
      <c r="D31" s="19"/>
      <c r="E31" s="19">
        <v>1</v>
      </c>
      <c r="F31" s="7">
        <f t="shared" si="7"/>
        <v>0</v>
      </c>
      <c r="G31" s="25">
        <f t="shared" si="15"/>
        <v>108.93899999999998</v>
      </c>
      <c r="H31" s="51">
        <v>5.0999999999999996</v>
      </c>
      <c r="I31" s="52">
        <v>0.25</v>
      </c>
      <c r="J31" s="21">
        <f t="shared" si="4"/>
        <v>1.2749999999999999</v>
      </c>
      <c r="K31" s="11">
        <f t="shared" si="10"/>
        <v>120</v>
      </c>
      <c r="L31" s="11">
        <f t="shared" si="9"/>
        <v>100</v>
      </c>
      <c r="M31" s="2">
        <f t="shared" si="1"/>
        <v>60</v>
      </c>
      <c r="N31" s="10">
        <f t="shared" si="11"/>
        <v>60</v>
      </c>
      <c r="O31" s="49">
        <f t="shared" si="5"/>
        <v>108.93899999999998</v>
      </c>
      <c r="P31" s="41">
        <f t="shared" si="8"/>
        <v>107.66399999999997</v>
      </c>
      <c r="Q31" s="17"/>
      <c r="R31" s="17"/>
      <c r="S31" s="17"/>
      <c r="T31" s="17"/>
      <c r="U31" s="17"/>
      <c r="V31" s="17"/>
      <c r="W31" s="17"/>
      <c r="X31" s="17"/>
      <c r="Y31" s="17"/>
    </row>
    <row r="32" spans="1:25" x14ac:dyDescent="0.3">
      <c r="A32" s="5">
        <f t="shared" si="6"/>
        <v>45947</v>
      </c>
      <c r="B32" s="46" t="s">
        <v>22</v>
      </c>
      <c r="C32" s="18"/>
      <c r="D32" s="19"/>
      <c r="E32" s="19">
        <v>1</v>
      </c>
      <c r="F32" s="7">
        <f t="shared" si="7"/>
        <v>0</v>
      </c>
      <c r="G32" s="25">
        <f t="shared" si="15"/>
        <v>120</v>
      </c>
      <c r="H32" s="51">
        <v>5.7</v>
      </c>
      <c r="I32" s="52">
        <v>0.25</v>
      </c>
      <c r="J32" s="21">
        <f t="shared" si="4"/>
        <v>1.425</v>
      </c>
      <c r="K32" s="11">
        <f t="shared" si="10"/>
        <v>118.575</v>
      </c>
      <c r="L32" s="11">
        <f t="shared" si="9"/>
        <v>98.8125</v>
      </c>
      <c r="M32" s="2">
        <f t="shared" si="1"/>
        <v>60</v>
      </c>
      <c r="N32" s="10">
        <f t="shared" si="11"/>
        <v>58.575000000000003</v>
      </c>
      <c r="O32" s="49">
        <f t="shared" si="5"/>
        <v>107.66399999999997</v>
      </c>
      <c r="P32" s="41">
        <f t="shared" si="8"/>
        <v>106.23899999999998</v>
      </c>
      <c r="Q32" s="39">
        <f>AVERAGE(I2:I31)</f>
        <v>0.16666666666666669</v>
      </c>
      <c r="R32" s="47">
        <f>AVERAGE(H2:H31)</f>
        <v>4.0566666666666666</v>
      </c>
      <c r="S32" s="47">
        <f>AVERAGE(J2:J32)</f>
        <v>0.74137096774193556</v>
      </c>
      <c r="T32" s="17"/>
      <c r="U32" s="17"/>
      <c r="V32" s="17"/>
      <c r="W32" s="17"/>
      <c r="X32" s="17"/>
      <c r="Y32" s="17"/>
    </row>
    <row r="33" spans="1:25" x14ac:dyDescent="0.3">
      <c r="A33" s="5">
        <f t="shared" si="6"/>
        <v>45948</v>
      </c>
      <c r="B33" s="45" t="s">
        <v>24</v>
      </c>
      <c r="C33" s="18"/>
      <c r="D33" s="19"/>
      <c r="E33" s="19">
        <v>1</v>
      </c>
      <c r="F33" s="7">
        <f t="shared" si="7"/>
        <v>0</v>
      </c>
      <c r="G33" s="25">
        <f t="shared" si="15"/>
        <v>118.575</v>
      </c>
      <c r="H33" s="51">
        <v>6</v>
      </c>
      <c r="I33" s="52">
        <v>0.44</v>
      </c>
      <c r="J33" s="21">
        <f t="shared" si="4"/>
        <v>2.64</v>
      </c>
      <c r="K33" s="11">
        <f>IF(C33+F33+G33-J33&gt;$U$2,$U$2,(IF(C33+F33+G33-J33&lt;0,0,C33+F33+G33-J33)))</f>
        <v>115.935</v>
      </c>
      <c r="L33" s="11">
        <f t="shared" si="9"/>
        <v>96.612499999999997</v>
      </c>
      <c r="M33" s="2">
        <f t="shared" si="1"/>
        <v>60</v>
      </c>
      <c r="N33" s="10">
        <f>K33-M33</f>
        <v>55.935000000000002</v>
      </c>
      <c r="O33" s="49">
        <f t="shared" si="5"/>
        <v>106.23899999999998</v>
      </c>
      <c r="P33" s="41">
        <f t="shared" si="8"/>
        <v>103.59899999999998</v>
      </c>
      <c r="Q33" s="17"/>
      <c r="R33" s="17"/>
      <c r="S33" s="17"/>
      <c r="T33" s="17"/>
      <c r="U33" s="17"/>
      <c r="V33" s="17"/>
      <c r="W33" s="17"/>
      <c r="X33" s="17"/>
      <c r="Y33" s="17"/>
    </row>
    <row r="34" spans="1:25" x14ac:dyDescent="0.3">
      <c r="A34" s="5">
        <f t="shared" si="6"/>
        <v>45949</v>
      </c>
      <c r="B34" s="45" t="s">
        <v>24</v>
      </c>
      <c r="C34" s="18"/>
      <c r="D34" s="19"/>
      <c r="E34" s="19">
        <v>1</v>
      </c>
      <c r="F34" s="7">
        <f t="shared" si="7"/>
        <v>0</v>
      </c>
      <c r="G34" s="25">
        <f>K33</f>
        <v>115.935</v>
      </c>
      <c r="H34" s="51">
        <v>4.3</v>
      </c>
      <c r="I34" s="52">
        <v>0.44</v>
      </c>
      <c r="J34" s="21">
        <f t="shared" si="4"/>
        <v>1.8919999999999999</v>
      </c>
      <c r="K34" s="11">
        <f>IF(C34+F34+G34-J34&gt;$U$2,$U$2,(IF(C34+F34+G34-J34&lt;0,0,C34+F34+G34-J34)))</f>
        <v>114.04300000000001</v>
      </c>
      <c r="L34" s="11">
        <f t="shared" si="9"/>
        <v>95.035833333333343</v>
      </c>
      <c r="M34" s="2">
        <f t="shared" ref="M34:M81" si="16">+$U$2*0.5</f>
        <v>60</v>
      </c>
      <c r="N34" s="10">
        <f t="shared" si="11"/>
        <v>54.043000000000006</v>
      </c>
      <c r="O34" s="49">
        <f t="shared" si="5"/>
        <v>103.59899999999998</v>
      </c>
      <c r="P34" s="41">
        <f>IF(V34+F34+O34-J34&gt;$U$2,$U$2,(IF(V34+F34+O34-J34&lt;0,0,V34+F34+O34-J34)))</f>
        <v>101.70699999999998</v>
      </c>
      <c r="Q34" s="17"/>
      <c r="R34" s="17"/>
      <c r="S34" s="17"/>
      <c r="T34" s="17"/>
      <c r="U34" s="17"/>
      <c r="V34" s="17"/>
      <c r="W34" s="17"/>
      <c r="X34" s="17"/>
      <c r="Y34" s="17"/>
    </row>
    <row r="35" spans="1:25" x14ac:dyDescent="0.3">
      <c r="A35" s="5">
        <f t="shared" si="6"/>
        <v>45950</v>
      </c>
      <c r="B35" s="45" t="s">
        <v>24</v>
      </c>
      <c r="C35" s="18"/>
      <c r="D35" s="19"/>
      <c r="E35" s="19">
        <v>1</v>
      </c>
      <c r="F35" s="7">
        <f t="shared" si="7"/>
        <v>0</v>
      </c>
      <c r="G35" s="25">
        <f>K34</f>
        <v>114.04300000000001</v>
      </c>
      <c r="H35" s="51">
        <v>5.8</v>
      </c>
      <c r="I35" s="52">
        <v>0.44</v>
      </c>
      <c r="J35" s="21">
        <f t="shared" si="4"/>
        <v>2.552</v>
      </c>
      <c r="K35" s="11">
        <f t="shared" si="10"/>
        <v>111.491</v>
      </c>
      <c r="L35" s="11">
        <f t="shared" si="9"/>
        <v>92.909166666666664</v>
      </c>
      <c r="M35" s="2">
        <f t="shared" si="16"/>
        <v>60</v>
      </c>
      <c r="N35" s="10">
        <f t="shared" si="11"/>
        <v>51.491</v>
      </c>
      <c r="O35" s="49">
        <f t="shared" ref="O35:O66" si="17">P34</f>
        <v>101.70699999999998</v>
      </c>
      <c r="P35" s="41">
        <f>IF(V35+F35+O35-J35&gt;$U$2,$U$2,(IF(V35+F35+O35-J35&lt;0,0,V35+F35+O35-J35)))</f>
        <v>99.154999999999973</v>
      </c>
      <c r="Q35" s="17"/>
      <c r="R35" s="17"/>
      <c r="S35" s="17"/>
      <c r="T35" s="17"/>
      <c r="U35" s="17"/>
      <c r="V35" s="17"/>
      <c r="W35" s="17"/>
      <c r="X35" s="17"/>
      <c r="Y35" s="17"/>
    </row>
    <row r="36" spans="1:25" x14ac:dyDescent="0.3">
      <c r="A36" s="5">
        <f t="shared" si="6"/>
        <v>45951</v>
      </c>
      <c r="B36" s="45" t="s">
        <v>24</v>
      </c>
      <c r="C36" s="18"/>
      <c r="D36" s="19"/>
      <c r="E36" s="19">
        <v>1</v>
      </c>
      <c r="F36" s="7">
        <f t="shared" si="7"/>
        <v>0</v>
      </c>
      <c r="G36" s="25">
        <f t="shared" si="15"/>
        <v>111.491</v>
      </c>
      <c r="H36" s="51">
        <v>1.9</v>
      </c>
      <c r="I36" s="52">
        <v>0.44</v>
      </c>
      <c r="J36" s="21">
        <f t="shared" si="4"/>
        <v>0.83599999999999997</v>
      </c>
      <c r="K36" s="11">
        <f t="shared" si="10"/>
        <v>110.655</v>
      </c>
      <c r="L36" s="11">
        <f t="shared" si="9"/>
        <v>92.212500000000006</v>
      </c>
      <c r="M36" s="2">
        <f t="shared" si="16"/>
        <v>60</v>
      </c>
      <c r="N36" s="10">
        <f t="shared" si="11"/>
        <v>50.655000000000001</v>
      </c>
      <c r="O36" s="49">
        <f t="shared" si="17"/>
        <v>99.154999999999973</v>
      </c>
      <c r="P36" s="41">
        <f>IF(V36+F36+O36-J36&gt;$U$2,$U$2,(IF(V36+F36+O36-J36&lt;0,0,V36+F36+O36-J36)))</f>
        <v>98.318999999999974</v>
      </c>
      <c r="Q36" s="17"/>
      <c r="R36" s="17"/>
      <c r="S36" s="17"/>
      <c r="T36" s="17"/>
      <c r="U36" s="17"/>
      <c r="V36" s="17"/>
      <c r="W36" s="17"/>
      <c r="X36" s="17"/>
      <c r="Y36" s="17"/>
    </row>
    <row r="37" spans="1:25" x14ac:dyDescent="0.3">
      <c r="A37" s="5">
        <f t="shared" si="6"/>
        <v>45952</v>
      </c>
      <c r="B37" s="45" t="s">
        <v>24</v>
      </c>
      <c r="C37" s="18"/>
      <c r="D37" s="19"/>
      <c r="E37" s="19">
        <v>1</v>
      </c>
      <c r="F37" s="7">
        <f t="shared" si="7"/>
        <v>0</v>
      </c>
      <c r="G37" s="25">
        <f t="shared" si="15"/>
        <v>110.655</v>
      </c>
      <c r="H37" s="51">
        <v>1.9</v>
      </c>
      <c r="I37" s="52">
        <v>0.44</v>
      </c>
      <c r="J37" s="21">
        <f t="shared" si="4"/>
        <v>0.83599999999999997</v>
      </c>
      <c r="K37" s="11">
        <f t="shared" si="10"/>
        <v>109.819</v>
      </c>
      <c r="L37" s="11">
        <f t="shared" si="9"/>
        <v>91.515833333333333</v>
      </c>
      <c r="M37" s="2">
        <f t="shared" si="16"/>
        <v>60</v>
      </c>
      <c r="N37" s="10">
        <f t="shared" si="11"/>
        <v>49.819000000000003</v>
      </c>
      <c r="O37" s="49">
        <f t="shared" si="17"/>
        <v>98.318999999999974</v>
      </c>
      <c r="P37" s="41">
        <f>IF(V37+F37+O37-J37&gt;$U$2,$U$2,(IF(V37+F37+O37-J37&lt;0,0,V37+F37+O37-J37)))</f>
        <v>97.482999999999976</v>
      </c>
      <c r="Q37" s="17"/>
      <c r="R37" s="17"/>
      <c r="S37" s="17"/>
      <c r="T37" s="17"/>
      <c r="U37" s="17"/>
      <c r="V37" s="17"/>
      <c r="W37" s="17"/>
      <c r="X37" s="17"/>
      <c r="Y37" s="17"/>
    </row>
    <row r="38" spans="1:25" x14ac:dyDescent="0.3">
      <c r="A38" s="5">
        <f t="shared" si="6"/>
        <v>45953</v>
      </c>
      <c r="B38" s="45" t="s">
        <v>24</v>
      </c>
      <c r="C38" s="18"/>
      <c r="D38" s="19"/>
      <c r="E38" s="19">
        <v>1</v>
      </c>
      <c r="F38" s="7">
        <f t="shared" si="7"/>
        <v>0</v>
      </c>
      <c r="G38" s="25">
        <f t="shared" si="15"/>
        <v>109.819</v>
      </c>
      <c r="H38" s="51">
        <v>4.8</v>
      </c>
      <c r="I38" s="52">
        <v>0.44</v>
      </c>
      <c r="J38" s="21">
        <f t="shared" si="4"/>
        <v>2.1120000000000001</v>
      </c>
      <c r="K38" s="11">
        <f t="shared" si="10"/>
        <v>107.70700000000001</v>
      </c>
      <c r="L38" s="11">
        <f t="shared" si="9"/>
        <v>89.755833333333342</v>
      </c>
      <c r="M38" s="2">
        <f t="shared" si="16"/>
        <v>60</v>
      </c>
      <c r="N38" s="10">
        <f t="shared" si="11"/>
        <v>47.707000000000008</v>
      </c>
      <c r="O38" s="49">
        <f t="shared" si="17"/>
        <v>97.482999999999976</v>
      </c>
      <c r="P38" s="41">
        <f t="shared" si="8"/>
        <v>95.370999999999981</v>
      </c>
      <c r="Q38" s="17"/>
      <c r="R38" s="17"/>
      <c r="S38" s="17"/>
      <c r="T38" s="17"/>
      <c r="U38" s="17"/>
      <c r="V38" s="17"/>
      <c r="W38" s="17"/>
      <c r="X38" s="17"/>
      <c r="Y38" s="17"/>
    </row>
    <row r="39" spans="1:25" x14ac:dyDescent="0.3">
      <c r="A39" s="5">
        <f t="shared" si="6"/>
        <v>45954</v>
      </c>
      <c r="B39" s="45" t="s">
        <v>24</v>
      </c>
      <c r="C39" s="18"/>
      <c r="D39" s="19">
        <v>65</v>
      </c>
      <c r="E39" s="19">
        <v>0.8</v>
      </c>
      <c r="F39" s="7">
        <f t="shared" si="7"/>
        <v>52</v>
      </c>
      <c r="G39" s="25">
        <f t="shared" si="15"/>
        <v>107.70700000000001</v>
      </c>
      <c r="H39" s="51">
        <v>3.2</v>
      </c>
      <c r="I39" s="52">
        <v>0.44</v>
      </c>
      <c r="J39" s="21">
        <f t="shared" si="4"/>
        <v>1.4080000000000001</v>
      </c>
      <c r="K39" s="11">
        <f>IF(C39+F39+G39-J39&gt;$U$2,$U$2,(IF(C39+F39+G39-J39&lt;0,0,C39+F39+G39-J39)))</f>
        <v>120</v>
      </c>
      <c r="L39" s="11">
        <f t="shared" si="9"/>
        <v>100</v>
      </c>
      <c r="M39" s="2">
        <f t="shared" si="16"/>
        <v>60</v>
      </c>
      <c r="N39" s="10">
        <f t="shared" si="11"/>
        <v>60</v>
      </c>
      <c r="O39" s="49">
        <f t="shared" si="17"/>
        <v>95.370999999999981</v>
      </c>
      <c r="P39" s="41">
        <f t="shared" si="8"/>
        <v>120</v>
      </c>
      <c r="T39" s="17"/>
      <c r="U39" s="17"/>
      <c r="V39" s="17"/>
      <c r="W39" s="17"/>
      <c r="X39" s="17"/>
      <c r="Y39" s="17"/>
    </row>
    <row r="40" spans="1:25" x14ac:dyDescent="0.3">
      <c r="A40" s="5">
        <f t="shared" si="6"/>
        <v>45955</v>
      </c>
      <c r="B40" s="45" t="s">
        <v>24</v>
      </c>
      <c r="C40" s="18"/>
      <c r="D40" s="19"/>
      <c r="E40" s="19">
        <v>1</v>
      </c>
      <c r="F40" s="7">
        <f t="shared" si="7"/>
        <v>0</v>
      </c>
      <c r="G40" s="25">
        <f t="shared" si="15"/>
        <v>120</v>
      </c>
      <c r="H40" s="51">
        <v>2.7</v>
      </c>
      <c r="I40" s="52">
        <v>0.51</v>
      </c>
      <c r="J40" s="21">
        <f t="shared" si="4"/>
        <v>1.3770000000000002</v>
      </c>
      <c r="K40" s="11">
        <f t="shared" si="10"/>
        <v>118.623</v>
      </c>
      <c r="L40" s="11">
        <f t="shared" si="9"/>
        <v>98.852500000000006</v>
      </c>
      <c r="M40" s="2">
        <f t="shared" si="16"/>
        <v>60</v>
      </c>
      <c r="N40" s="10">
        <f>K40-M40</f>
        <v>58.623000000000005</v>
      </c>
      <c r="O40" s="49">
        <f t="shared" si="17"/>
        <v>120</v>
      </c>
      <c r="P40" s="41">
        <f t="shared" si="8"/>
        <v>118.623</v>
      </c>
      <c r="Q40" s="17"/>
      <c r="R40" s="17"/>
      <c r="S40" s="17"/>
      <c r="T40" s="17"/>
      <c r="U40" s="17"/>
      <c r="V40" s="17"/>
      <c r="W40" s="17"/>
      <c r="X40" s="17"/>
      <c r="Y40" s="17"/>
    </row>
    <row r="41" spans="1:25" x14ac:dyDescent="0.3">
      <c r="A41" s="5">
        <f t="shared" si="6"/>
        <v>45956</v>
      </c>
      <c r="B41" s="45" t="s">
        <v>24</v>
      </c>
      <c r="C41" s="18"/>
      <c r="D41" s="19"/>
      <c r="E41" s="19">
        <v>1</v>
      </c>
      <c r="F41" s="7">
        <f t="shared" si="7"/>
        <v>0</v>
      </c>
      <c r="G41" s="25">
        <f t="shared" si="15"/>
        <v>118.623</v>
      </c>
      <c r="H41" s="51">
        <v>4.05</v>
      </c>
      <c r="I41" s="52">
        <v>0.51</v>
      </c>
      <c r="J41" s="21">
        <f t="shared" si="4"/>
        <v>2.0655000000000001</v>
      </c>
      <c r="K41" s="11">
        <f t="shared" si="10"/>
        <v>116.5575</v>
      </c>
      <c r="L41" s="11">
        <f t="shared" si="9"/>
        <v>97.131249999999994</v>
      </c>
      <c r="M41" s="2">
        <f t="shared" si="16"/>
        <v>60</v>
      </c>
      <c r="N41" s="10">
        <f t="shared" si="11"/>
        <v>56.557500000000005</v>
      </c>
      <c r="O41" s="49">
        <f t="shared" si="17"/>
        <v>118.623</v>
      </c>
      <c r="P41" s="41">
        <f t="shared" si="8"/>
        <v>116.5575</v>
      </c>
      <c r="Q41" s="17"/>
      <c r="R41" s="17"/>
      <c r="S41" s="17"/>
      <c r="T41" s="17"/>
      <c r="U41" s="17"/>
      <c r="V41" s="17"/>
      <c r="W41" s="17"/>
      <c r="X41" s="17"/>
      <c r="Y41" s="17"/>
    </row>
    <row r="42" spans="1:25" x14ac:dyDescent="0.3">
      <c r="A42" s="5">
        <f t="shared" si="6"/>
        <v>45957</v>
      </c>
      <c r="B42" s="45" t="s">
        <v>24</v>
      </c>
      <c r="C42" s="18"/>
      <c r="D42" s="19"/>
      <c r="E42" s="19">
        <v>1</v>
      </c>
      <c r="F42" s="7">
        <f t="shared" si="7"/>
        <v>0</v>
      </c>
      <c r="G42" s="25">
        <f t="shared" si="15"/>
        <v>116.5575</v>
      </c>
      <c r="H42" s="51">
        <v>4.0999999999999996</v>
      </c>
      <c r="I42" s="52">
        <v>0.51</v>
      </c>
      <c r="J42" s="21">
        <f t="shared" si="4"/>
        <v>2.0909999999999997</v>
      </c>
      <c r="K42" s="11">
        <f t="shared" si="10"/>
        <v>114.46650000000001</v>
      </c>
      <c r="L42" s="11">
        <f t="shared" si="9"/>
        <v>95.388750000000016</v>
      </c>
      <c r="M42" s="2">
        <f t="shared" si="16"/>
        <v>60</v>
      </c>
      <c r="N42" s="10">
        <f t="shared" si="11"/>
        <v>54.466500000000011</v>
      </c>
      <c r="O42" s="49">
        <f t="shared" si="17"/>
        <v>116.5575</v>
      </c>
      <c r="P42" s="41">
        <f t="shared" si="8"/>
        <v>114.46650000000001</v>
      </c>
      <c r="Q42" s="17"/>
      <c r="R42" s="17"/>
      <c r="S42" s="17"/>
      <c r="T42" s="17"/>
      <c r="U42" s="17"/>
      <c r="V42" s="17"/>
      <c r="W42" s="17"/>
      <c r="X42" s="17"/>
      <c r="Y42" s="17"/>
    </row>
    <row r="43" spans="1:25" x14ac:dyDescent="0.3">
      <c r="A43" s="5">
        <f t="shared" si="6"/>
        <v>45958</v>
      </c>
      <c r="B43" s="45" t="s">
        <v>24</v>
      </c>
      <c r="C43" s="18"/>
      <c r="D43" s="19"/>
      <c r="E43" s="19">
        <v>1</v>
      </c>
      <c r="F43" s="7">
        <f t="shared" si="7"/>
        <v>0</v>
      </c>
      <c r="G43" s="25">
        <f>K42</f>
        <v>114.46650000000001</v>
      </c>
      <c r="H43" s="56">
        <v>5</v>
      </c>
      <c r="I43" s="52">
        <v>0.51</v>
      </c>
      <c r="J43" s="21">
        <f t="shared" si="4"/>
        <v>2.5499999999999998</v>
      </c>
      <c r="K43" s="11">
        <f t="shared" si="10"/>
        <v>111.91650000000001</v>
      </c>
      <c r="L43" s="11">
        <f t="shared" si="9"/>
        <v>93.263750000000016</v>
      </c>
      <c r="M43" s="2">
        <f t="shared" si="16"/>
        <v>60</v>
      </c>
      <c r="N43" s="10">
        <f t="shared" si="11"/>
        <v>51.916500000000013</v>
      </c>
      <c r="O43" s="49">
        <f t="shared" si="17"/>
        <v>114.46650000000001</v>
      </c>
      <c r="P43" s="41">
        <f t="shared" si="8"/>
        <v>111.91650000000001</v>
      </c>
      <c r="Q43" s="17"/>
      <c r="R43" s="17"/>
      <c r="S43" s="17"/>
      <c r="T43" s="17"/>
      <c r="U43" s="17"/>
      <c r="V43" s="17"/>
      <c r="W43" s="17"/>
      <c r="X43" s="17"/>
      <c r="Y43" s="17"/>
    </row>
    <row r="44" spans="1:25" x14ac:dyDescent="0.3">
      <c r="A44" s="5">
        <f t="shared" si="6"/>
        <v>45959</v>
      </c>
      <c r="B44" s="45" t="s">
        <v>24</v>
      </c>
      <c r="C44" s="18"/>
      <c r="D44" s="19"/>
      <c r="E44" s="19">
        <v>1</v>
      </c>
      <c r="F44" s="7">
        <f t="shared" si="7"/>
        <v>0</v>
      </c>
      <c r="G44" s="25">
        <f t="shared" si="15"/>
        <v>111.91650000000001</v>
      </c>
      <c r="H44" s="56">
        <v>5</v>
      </c>
      <c r="I44" s="52">
        <v>0.51</v>
      </c>
      <c r="J44" s="21">
        <f t="shared" si="4"/>
        <v>2.5499999999999998</v>
      </c>
      <c r="K44" s="11">
        <f t="shared" si="10"/>
        <v>109.36650000000002</v>
      </c>
      <c r="L44" s="11">
        <f t="shared" si="9"/>
        <v>91.138750000000016</v>
      </c>
      <c r="M44" s="2">
        <f t="shared" si="16"/>
        <v>60</v>
      </c>
      <c r="N44" s="10">
        <f t="shared" si="11"/>
        <v>49.366500000000016</v>
      </c>
      <c r="O44" s="49">
        <f t="shared" si="17"/>
        <v>111.91650000000001</v>
      </c>
      <c r="P44" s="41">
        <f t="shared" si="8"/>
        <v>109.36650000000002</v>
      </c>
      <c r="Q44" s="17"/>
      <c r="R44" s="17"/>
      <c r="S44" s="17"/>
      <c r="T44" s="17"/>
      <c r="U44" s="17"/>
      <c r="V44" s="17"/>
      <c r="W44" s="17"/>
      <c r="X44" s="17"/>
      <c r="Y44" s="17"/>
    </row>
    <row r="45" spans="1:25" x14ac:dyDescent="0.3">
      <c r="A45" s="5">
        <f t="shared" si="6"/>
        <v>45960</v>
      </c>
      <c r="B45" s="45" t="s">
        <v>24</v>
      </c>
      <c r="C45" s="18"/>
      <c r="D45" s="19"/>
      <c r="E45" s="19">
        <v>1</v>
      </c>
      <c r="F45" s="7">
        <f t="shared" si="7"/>
        <v>0</v>
      </c>
      <c r="G45" s="25">
        <f t="shared" si="15"/>
        <v>109.36650000000002</v>
      </c>
      <c r="H45" s="51">
        <v>5.0999999999999996</v>
      </c>
      <c r="I45" s="52">
        <v>0.51</v>
      </c>
      <c r="J45" s="21">
        <f t="shared" si="4"/>
        <v>2.601</v>
      </c>
      <c r="K45" s="11">
        <f t="shared" si="10"/>
        <v>106.76550000000002</v>
      </c>
      <c r="L45" s="11">
        <f t="shared" si="9"/>
        <v>88.971250000000012</v>
      </c>
      <c r="M45" s="2">
        <f t="shared" si="16"/>
        <v>60</v>
      </c>
      <c r="N45" s="10">
        <f t="shared" si="11"/>
        <v>46.765500000000017</v>
      </c>
      <c r="O45" s="49">
        <f t="shared" si="17"/>
        <v>109.36650000000002</v>
      </c>
      <c r="P45" s="41">
        <f t="shared" si="8"/>
        <v>106.76550000000002</v>
      </c>
      <c r="Q45" s="17"/>
      <c r="R45" s="17"/>
      <c r="S45" s="17"/>
      <c r="T45" s="17"/>
      <c r="U45" s="17"/>
      <c r="V45" s="17"/>
      <c r="W45" s="17"/>
      <c r="X45" s="17"/>
      <c r="Y45" s="17"/>
    </row>
    <row r="46" spans="1:25" x14ac:dyDescent="0.3">
      <c r="A46" s="5">
        <f t="shared" si="6"/>
        <v>45961</v>
      </c>
      <c r="B46" s="45" t="s">
        <v>24</v>
      </c>
      <c r="C46" s="18"/>
      <c r="D46" s="19"/>
      <c r="E46" s="19">
        <v>1</v>
      </c>
      <c r="F46" s="7">
        <f t="shared" si="7"/>
        <v>0</v>
      </c>
      <c r="G46" s="25">
        <f t="shared" si="15"/>
        <v>106.76550000000002</v>
      </c>
      <c r="H46" s="51">
        <v>5.4</v>
      </c>
      <c r="I46" s="52">
        <v>0.51</v>
      </c>
      <c r="J46" s="21">
        <f t="shared" si="4"/>
        <v>2.7540000000000004</v>
      </c>
      <c r="K46" s="11">
        <f t="shared" si="10"/>
        <v>104.01150000000001</v>
      </c>
      <c r="L46" s="11">
        <f t="shared" si="9"/>
        <v>86.67625000000001</v>
      </c>
      <c r="M46" s="2">
        <f t="shared" si="16"/>
        <v>60</v>
      </c>
      <c r="N46" s="10">
        <f t="shared" si="11"/>
        <v>44.011500000000012</v>
      </c>
      <c r="O46" s="49">
        <f t="shared" si="17"/>
        <v>106.76550000000002</v>
      </c>
      <c r="P46" s="41">
        <f t="shared" si="8"/>
        <v>104.01150000000001</v>
      </c>
      <c r="Q46" s="17"/>
      <c r="R46" s="17"/>
      <c r="S46" s="17"/>
      <c r="T46" s="17"/>
      <c r="U46" s="17"/>
      <c r="V46" s="17"/>
      <c r="W46" s="17"/>
      <c r="X46" s="17"/>
      <c r="Y46" s="17"/>
    </row>
    <row r="47" spans="1:25" x14ac:dyDescent="0.3">
      <c r="A47" s="5">
        <f t="shared" si="6"/>
        <v>45962</v>
      </c>
      <c r="B47" s="45" t="s">
        <v>24</v>
      </c>
      <c r="C47" s="18"/>
      <c r="D47" s="19"/>
      <c r="E47" s="19">
        <v>1</v>
      </c>
      <c r="F47" s="7">
        <f>D47*E47</f>
        <v>0</v>
      </c>
      <c r="G47" s="25">
        <f t="shared" si="15"/>
        <v>104.01150000000001</v>
      </c>
      <c r="H47" s="51">
        <v>3.05</v>
      </c>
      <c r="I47" s="52">
        <v>0.64</v>
      </c>
      <c r="J47" s="21">
        <f t="shared" si="4"/>
        <v>1.952</v>
      </c>
      <c r="K47" s="11">
        <f t="shared" si="10"/>
        <v>102.05950000000001</v>
      </c>
      <c r="L47" s="11">
        <f t="shared" si="9"/>
        <v>85.049583333333345</v>
      </c>
      <c r="M47" s="2">
        <f t="shared" si="16"/>
        <v>60</v>
      </c>
      <c r="N47" s="10">
        <f t="shared" si="11"/>
        <v>42.059500000000014</v>
      </c>
      <c r="O47" s="49">
        <f t="shared" si="17"/>
        <v>104.01150000000001</v>
      </c>
      <c r="P47" s="41">
        <f t="shared" si="8"/>
        <v>102.05950000000001</v>
      </c>
      <c r="Q47" s="17"/>
      <c r="R47" s="17"/>
      <c r="S47" s="17"/>
      <c r="T47" s="17"/>
      <c r="U47" s="17"/>
      <c r="V47" s="17"/>
      <c r="W47" s="17"/>
      <c r="X47" s="17"/>
      <c r="Y47" s="17"/>
    </row>
    <row r="48" spans="1:25" x14ac:dyDescent="0.3">
      <c r="A48" s="5">
        <f t="shared" si="6"/>
        <v>45963</v>
      </c>
      <c r="B48" s="45" t="s">
        <v>24</v>
      </c>
      <c r="C48" s="18"/>
      <c r="D48" s="19"/>
      <c r="E48" s="19">
        <v>1</v>
      </c>
      <c r="F48" s="7">
        <f t="shared" si="7"/>
        <v>0</v>
      </c>
      <c r="G48" s="25">
        <f t="shared" si="15"/>
        <v>102.05950000000001</v>
      </c>
      <c r="H48" s="51">
        <v>4</v>
      </c>
      <c r="I48" s="52">
        <v>0.64</v>
      </c>
      <c r="J48" s="21">
        <f t="shared" si="4"/>
        <v>2.56</v>
      </c>
      <c r="K48" s="11">
        <f t="shared" si="10"/>
        <v>99.499500000000012</v>
      </c>
      <c r="L48" s="11">
        <f t="shared" si="9"/>
        <v>82.916250000000005</v>
      </c>
      <c r="M48" s="2">
        <f t="shared" si="16"/>
        <v>60</v>
      </c>
      <c r="N48" s="10">
        <f t="shared" si="11"/>
        <v>39.499500000000012</v>
      </c>
      <c r="O48" s="49">
        <f t="shared" si="17"/>
        <v>102.05950000000001</v>
      </c>
      <c r="P48" s="41">
        <f t="shared" si="8"/>
        <v>99.499500000000012</v>
      </c>
      <c r="Q48" s="17"/>
      <c r="R48" s="17"/>
      <c r="S48" s="17"/>
      <c r="T48" s="17"/>
      <c r="U48" s="17"/>
      <c r="V48" s="17"/>
      <c r="W48" s="17"/>
      <c r="X48" s="17"/>
      <c r="Y48" s="17"/>
    </row>
    <row r="49" spans="1:25" x14ac:dyDescent="0.3">
      <c r="A49" s="5">
        <f t="shared" si="6"/>
        <v>45964</v>
      </c>
      <c r="B49" s="45" t="s">
        <v>24</v>
      </c>
      <c r="C49" s="18"/>
      <c r="D49" s="19"/>
      <c r="E49" s="19">
        <v>1</v>
      </c>
      <c r="F49" s="7">
        <f t="shared" si="7"/>
        <v>0</v>
      </c>
      <c r="G49" s="25">
        <f t="shared" si="15"/>
        <v>99.499500000000012</v>
      </c>
      <c r="H49" s="51">
        <v>4.3</v>
      </c>
      <c r="I49" s="52">
        <v>0.64</v>
      </c>
      <c r="J49" s="21">
        <f t="shared" si="4"/>
        <v>2.7519999999999998</v>
      </c>
      <c r="K49" s="11">
        <f t="shared" si="10"/>
        <v>96.747500000000016</v>
      </c>
      <c r="L49" s="11">
        <f t="shared" si="9"/>
        <v>80.622916666666683</v>
      </c>
      <c r="M49" s="2">
        <f t="shared" si="16"/>
        <v>60</v>
      </c>
      <c r="N49" s="10">
        <f t="shared" si="11"/>
        <v>36.747500000000016</v>
      </c>
      <c r="O49" s="49">
        <f t="shared" si="17"/>
        <v>99.499500000000012</v>
      </c>
      <c r="P49" s="41">
        <f t="shared" si="8"/>
        <v>96.747500000000016</v>
      </c>
      <c r="Q49" s="17"/>
      <c r="R49" s="17"/>
      <c r="S49" s="17"/>
      <c r="T49" s="17"/>
      <c r="U49" s="17"/>
      <c r="V49" s="17"/>
      <c r="W49" s="17"/>
      <c r="X49" s="17"/>
      <c r="Y49" s="17"/>
    </row>
    <row r="50" spans="1:25" x14ac:dyDescent="0.3">
      <c r="A50" s="5">
        <f t="shared" si="6"/>
        <v>45965</v>
      </c>
      <c r="B50" s="45" t="s">
        <v>24</v>
      </c>
      <c r="C50" s="18"/>
      <c r="D50" s="19"/>
      <c r="E50" s="19">
        <v>1</v>
      </c>
      <c r="F50" s="7">
        <f t="shared" si="7"/>
        <v>0</v>
      </c>
      <c r="G50" s="25">
        <f t="shared" si="15"/>
        <v>96.747500000000016</v>
      </c>
      <c r="H50" s="51">
        <v>0.5</v>
      </c>
      <c r="I50" s="52">
        <v>0.64</v>
      </c>
      <c r="J50" s="21">
        <f t="shared" si="4"/>
        <v>0.32</v>
      </c>
      <c r="K50" s="11">
        <f t="shared" si="10"/>
        <v>96.427500000000023</v>
      </c>
      <c r="L50" s="11">
        <f t="shared" si="9"/>
        <v>80.356250000000017</v>
      </c>
      <c r="M50" s="2">
        <f t="shared" si="16"/>
        <v>60</v>
      </c>
      <c r="N50" s="10">
        <f t="shared" si="11"/>
        <v>36.427500000000023</v>
      </c>
      <c r="O50" s="49">
        <f t="shared" si="17"/>
        <v>96.747500000000016</v>
      </c>
      <c r="P50" s="41">
        <f t="shared" si="8"/>
        <v>96.427500000000023</v>
      </c>
      <c r="Q50" s="17"/>
      <c r="R50" s="17"/>
      <c r="S50" s="17"/>
      <c r="T50" s="17"/>
      <c r="U50" s="17"/>
      <c r="V50" s="17"/>
      <c r="W50" s="17"/>
      <c r="X50" s="17"/>
      <c r="Y50" s="17"/>
    </row>
    <row r="51" spans="1:25" x14ac:dyDescent="0.3">
      <c r="A51" s="5">
        <f t="shared" si="6"/>
        <v>45966</v>
      </c>
      <c r="B51" s="45" t="s">
        <v>24</v>
      </c>
      <c r="C51" s="18"/>
      <c r="D51" s="19"/>
      <c r="E51" s="19">
        <v>1</v>
      </c>
      <c r="F51" s="7">
        <f t="shared" si="7"/>
        <v>0</v>
      </c>
      <c r="G51" s="25">
        <f t="shared" si="15"/>
        <v>96.427500000000023</v>
      </c>
      <c r="H51" s="51">
        <v>3.35</v>
      </c>
      <c r="I51" s="52">
        <v>0.64</v>
      </c>
      <c r="J51" s="21">
        <f t="shared" si="4"/>
        <v>2.1440000000000001</v>
      </c>
      <c r="K51" s="11">
        <f t="shared" si="10"/>
        <v>94.283500000000018</v>
      </c>
      <c r="L51" s="11">
        <f t="shared" si="9"/>
        <v>78.569583333333355</v>
      </c>
      <c r="M51" s="2">
        <f t="shared" si="16"/>
        <v>60</v>
      </c>
      <c r="N51" s="10">
        <f t="shared" si="11"/>
        <v>34.283500000000018</v>
      </c>
      <c r="O51" s="49">
        <f t="shared" si="17"/>
        <v>96.427500000000023</v>
      </c>
      <c r="P51" s="41">
        <f t="shared" si="8"/>
        <v>94.283500000000018</v>
      </c>
      <c r="Q51" s="17"/>
      <c r="R51" s="17"/>
      <c r="S51" s="17"/>
      <c r="T51" s="17"/>
      <c r="U51" s="17"/>
      <c r="V51" s="17"/>
      <c r="W51" s="17"/>
      <c r="X51" s="17"/>
      <c r="Y51" s="17"/>
    </row>
    <row r="52" spans="1:25" x14ac:dyDescent="0.3">
      <c r="A52" s="5">
        <f t="shared" si="6"/>
        <v>45967</v>
      </c>
      <c r="B52" s="45" t="s">
        <v>24</v>
      </c>
      <c r="C52" s="18"/>
      <c r="D52" s="19"/>
      <c r="E52" s="19">
        <v>1</v>
      </c>
      <c r="F52" s="7">
        <f t="shared" si="7"/>
        <v>0</v>
      </c>
      <c r="G52" s="25">
        <f t="shared" si="15"/>
        <v>94.283500000000018</v>
      </c>
      <c r="H52" s="51">
        <v>4.9000000000000004</v>
      </c>
      <c r="I52" s="52">
        <v>0.64</v>
      </c>
      <c r="J52" s="21">
        <f t="shared" si="4"/>
        <v>3.1360000000000001</v>
      </c>
      <c r="K52" s="11">
        <f t="shared" si="10"/>
        <v>91.147500000000022</v>
      </c>
      <c r="L52" s="11">
        <f t="shared" si="9"/>
        <v>75.956250000000011</v>
      </c>
      <c r="M52" s="2">
        <f t="shared" si="16"/>
        <v>60</v>
      </c>
      <c r="N52" s="10">
        <f t="shared" si="11"/>
        <v>31.147500000000022</v>
      </c>
      <c r="O52" s="49">
        <f t="shared" si="17"/>
        <v>94.283500000000018</v>
      </c>
      <c r="P52" s="41">
        <f t="shared" si="8"/>
        <v>91.147500000000022</v>
      </c>
      <c r="Q52" s="17"/>
      <c r="R52" s="17"/>
      <c r="S52" s="17"/>
      <c r="T52" s="17"/>
      <c r="U52" s="17"/>
      <c r="V52" s="17"/>
      <c r="W52" s="17"/>
      <c r="X52" s="17"/>
      <c r="Y52" s="17"/>
    </row>
    <row r="53" spans="1:25" x14ac:dyDescent="0.3">
      <c r="A53" s="5">
        <f t="shared" si="6"/>
        <v>45968</v>
      </c>
      <c r="B53" s="45" t="s">
        <v>24</v>
      </c>
      <c r="C53" s="18"/>
      <c r="D53" s="19">
        <v>40</v>
      </c>
      <c r="E53" s="19">
        <v>1</v>
      </c>
      <c r="F53" s="7">
        <f t="shared" si="7"/>
        <v>40</v>
      </c>
      <c r="G53" s="25">
        <f t="shared" si="15"/>
        <v>91.147500000000022</v>
      </c>
      <c r="H53" s="51">
        <v>6</v>
      </c>
      <c r="I53" s="52">
        <v>0.64</v>
      </c>
      <c r="J53" s="21">
        <f t="shared" si="4"/>
        <v>3.84</v>
      </c>
      <c r="K53" s="11">
        <f t="shared" si="10"/>
        <v>120</v>
      </c>
      <c r="L53" s="11">
        <f t="shared" si="9"/>
        <v>100</v>
      </c>
      <c r="M53" s="2">
        <f t="shared" si="16"/>
        <v>60</v>
      </c>
      <c r="N53" s="10">
        <f t="shared" si="11"/>
        <v>60</v>
      </c>
      <c r="O53" s="49">
        <f t="shared" si="17"/>
        <v>91.147500000000022</v>
      </c>
      <c r="P53" s="41">
        <f t="shared" si="8"/>
        <v>120</v>
      </c>
      <c r="Q53" s="17"/>
      <c r="R53" s="17"/>
      <c r="S53" s="17"/>
      <c r="T53" s="17"/>
      <c r="U53" s="17"/>
      <c r="V53" s="17"/>
      <c r="W53" s="17"/>
      <c r="X53" s="17"/>
      <c r="Y53" s="17"/>
    </row>
    <row r="54" spans="1:25" x14ac:dyDescent="0.3">
      <c r="A54" s="5">
        <f t="shared" si="6"/>
        <v>45969</v>
      </c>
      <c r="B54" s="45" t="s">
        <v>24</v>
      </c>
      <c r="C54" s="18"/>
      <c r="D54" s="19"/>
      <c r="E54" s="19">
        <v>1</v>
      </c>
      <c r="F54" s="7">
        <f t="shared" si="7"/>
        <v>0</v>
      </c>
      <c r="G54" s="25">
        <f t="shared" si="15"/>
        <v>120</v>
      </c>
      <c r="H54" s="51">
        <v>5.0999999999999996</v>
      </c>
      <c r="I54" s="52">
        <v>0.77</v>
      </c>
      <c r="J54" s="21">
        <f t="shared" si="4"/>
        <v>3.9269999999999996</v>
      </c>
      <c r="K54" s="11">
        <f t="shared" si="10"/>
        <v>116.07300000000001</v>
      </c>
      <c r="L54" s="11">
        <f t="shared" si="9"/>
        <v>96.727500000000006</v>
      </c>
      <c r="M54" s="2">
        <f t="shared" si="16"/>
        <v>60</v>
      </c>
      <c r="N54" s="10">
        <f t="shared" si="11"/>
        <v>56.073000000000008</v>
      </c>
      <c r="O54" s="49">
        <f t="shared" si="17"/>
        <v>120</v>
      </c>
      <c r="P54" s="41">
        <f t="shared" si="8"/>
        <v>116.07300000000001</v>
      </c>
      <c r="Q54" s="17"/>
      <c r="R54" s="17"/>
      <c r="S54" s="17"/>
      <c r="T54" s="17"/>
      <c r="U54" s="17"/>
      <c r="V54" s="17"/>
      <c r="W54" s="17"/>
      <c r="X54" s="17"/>
      <c r="Y54" s="17"/>
    </row>
    <row r="55" spans="1:25" x14ac:dyDescent="0.3">
      <c r="A55" s="5">
        <f t="shared" si="6"/>
        <v>45970</v>
      </c>
      <c r="B55" s="45" t="s">
        <v>24</v>
      </c>
      <c r="C55" s="18"/>
      <c r="D55" s="19"/>
      <c r="E55" s="19">
        <v>1</v>
      </c>
      <c r="F55" s="54">
        <f t="shared" si="7"/>
        <v>0</v>
      </c>
      <c r="G55" s="25">
        <f t="shared" si="15"/>
        <v>116.07300000000001</v>
      </c>
      <c r="H55" s="51">
        <v>1.3</v>
      </c>
      <c r="I55" s="52">
        <v>0.77</v>
      </c>
      <c r="J55" s="21">
        <f t="shared" si="4"/>
        <v>1.0010000000000001</v>
      </c>
      <c r="K55" s="11">
        <f t="shared" si="10"/>
        <v>115.072</v>
      </c>
      <c r="L55" s="11">
        <f t="shared" si="9"/>
        <v>95.893333333333345</v>
      </c>
      <c r="M55" s="2">
        <f t="shared" si="16"/>
        <v>60</v>
      </c>
      <c r="N55" s="10">
        <f t="shared" si="11"/>
        <v>55.072000000000003</v>
      </c>
      <c r="O55" s="49">
        <f t="shared" si="17"/>
        <v>116.07300000000001</v>
      </c>
      <c r="P55" s="41">
        <f t="shared" si="8"/>
        <v>115.072</v>
      </c>
      <c r="T55" s="17"/>
      <c r="U55" s="17"/>
      <c r="V55" s="17"/>
      <c r="W55" s="17"/>
      <c r="X55" s="17"/>
      <c r="Y55" s="17"/>
    </row>
    <row r="56" spans="1:25" x14ac:dyDescent="0.3">
      <c r="A56" s="5">
        <f t="shared" si="6"/>
        <v>45971</v>
      </c>
      <c r="B56" s="45" t="s">
        <v>24</v>
      </c>
      <c r="C56" s="18"/>
      <c r="D56" s="19"/>
      <c r="E56" s="19">
        <v>1</v>
      </c>
      <c r="F56" s="7">
        <f t="shared" si="7"/>
        <v>0</v>
      </c>
      <c r="G56" s="25">
        <f t="shared" si="15"/>
        <v>115.072</v>
      </c>
      <c r="H56" s="51">
        <v>5.55</v>
      </c>
      <c r="I56" s="52">
        <v>0.77</v>
      </c>
      <c r="J56" s="21">
        <f t="shared" si="4"/>
        <v>4.2735000000000003</v>
      </c>
      <c r="K56" s="11">
        <f t="shared" si="10"/>
        <v>110.7985</v>
      </c>
      <c r="L56" s="11">
        <f t="shared" si="9"/>
        <v>92.33208333333333</v>
      </c>
      <c r="M56" s="2">
        <f t="shared" si="16"/>
        <v>60</v>
      </c>
      <c r="N56" s="10">
        <f t="shared" si="11"/>
        <v>50.798500000000004</v>
      </c>
      <c r="O56" s="49">
        <f t="shared" si="17"/>
        <v>115.072</v>
      </c>
      <c r="P56" s="41">
        <f t="shared" si="8"/>
        <v>110.7985</v>
      </c>
      <c r="Q56" s="43"/>
      <c r="R56" s="17"/>
      <c r="S56" s="17"/>
      <c r="T56" s="17"/>
      <c r="U56" s="17"/>
      <c r="V56" s="17"/>
      <c r="W56" s="17"/>
      <c r="X56" s="17"/>
      <c r="Y56" s="17"/>
    </row>
    <row r="57" spans="1:25" x14ac:dyDescent="0.3">
      <c r="A57" s="5">
        <f t="shared" si="6"/>
        <v>45972</v>
      </c>
      <c r="B57" s="45" t="s">
        <v>24</v>
      </c>
      <c r="C57" s="18"/>
      <c r="D57" s="19"/>
      <c r="E57" s="19">
        <v>1</v>
      </c>
      <c r="F57" s="7">
        <f t="shared" si="7"/>
        <v>0</v>
      </c>
      <c r="G57" s="25">
        <f t="shared" si="15"/>
        <v>110.7985</v>
      </c>
      <c r="H57" s="51">
        <v>3.8</v>
      </c>
      <c r="I57" s="52">
        <v>0.77</v>
      </c>
      <c r="J57" s="21">
        <f t="shared" si="4"/>
        <v>2.9259999999999997</v>
      </c>
      <c r="K57" s="11">
        <f t="shared" si="10"/>
        <v>107.8725</v>
      </c>
      <c r="L57" s="11">
        <f t="shared" si="9"/>
        <v>89.893749999999997</v>
      </c>
      <c r="M57" s="2">
        <f t="shared" si="16"/>
        <v>60</v>
      </c>
      <c r="N57" s="10">
        <f t="shared" si="11"/>
        <v>47.872500000000002</v>
      </c>
      <c r="O57" s="49">
        <f t="shared" si="17"/>
        <v>110.7985</v>
      </c>
      <c r="P57" s="41">
        <f t="shared" si="8"/>
        <v>107.8725</v>
      </c>
      <c r="Q57" s="43"/>
      <c r="R57" s="17"/>
      <c r="S57" s="17"/>
      <c r="T57" s="17"/>
      <c r="U57" s="17"/>
      <c r="V57" s="17"/>
      <c r="W57" s="17"/>
      <c r="X57" s="17"/>
      <c r="Y57" s="17"/>
    </row>
    <row r="58" spans="1:25" x14ac:dyDescent="0.3">
      <c r="A58" s="5">
        <f t="shared" si="6"/>
        <v>45973</v>
      </c>
      <c r="B58" s="45" t="s">
        <v>24</v>
      </c>
      <c r="C58" s="18"/>
      <c r="D58" s="19">
        <v>10</v>
      </c>
      <c r="E58" s="19">
        <v>1</v>
      </c>
      <c r="F58" s="7">
        <f t="shared" si="7"/>
        <v>10</v>
      </c>
      <c r="G58" s="25">
        <f t="shared" si="15"/>
        <v>107.8725</v>
      </c>
      <c r="H58" s="51">
        <v>6.5</v>
      </c>
      <c r="I58" s="52">
        <v>0.77</v>
      </c>
      <c r="J58" s="21">
        <f t="shared" si="4"/>
        <v>5.0049999999999999</v>
      </c>
      <c r="K58" s="11">
        <f t="shared" si="10"/>
        <v>112.86750000000001</v>
      </c>
      <c r="L58" s="11">
        <f t="shared" si="9"/>
        <v>94.056250000000006</v>
      </c>
      <c r="M58" s="2">
        <f t="shared" si="16"/>
        <v>60</v>
      </c>
      <c r="N58" s="10">
        <f t="shared" si="11"/>
        <v>52.867500000000007</v>
      </c>
      <c r="O58" s="49">
        <f t="shared" si="17"/>
        <v>107.8725</v>
      </c>
      <c r="P58" s="41">
        <f t="shared" si="8"/>
        <v>112.86750000000001</v>
      </c>
      <c r="Q58" s="43"/>
      <c r="R58" s="17"/>
      <c r="S58" s="17"/>
      <c r="T58" s="17"/>
      <c r="U58" s="17"/>
      <c r="V58" s="17"/>
      <c r="W58" s="17"/>
      <c r="X58" s="17"/>
      <c r="Y58" s="17"/>
    </row>
    <row r="59" spans="1:25" x14ac:dyDescent="0.3">
      <c r="A59" s="5">
        <f t="shared" si="6"/>
        <v>45974</v>
      </c>
      <c r="B59" s="45" t="s">
        <v>24</v>
      </c>
      <c r="C59" s="18"/>
      <c r="D59" s="19"/>
      <c r="E59" s="19">
        <v>1</v>
      </c>
      <c r="F59" s="7">
        <f t="shared" si="7"/>
        <v>0</v>
      </c>
      <c r="G59" s="25">
        <f t="shared" si="15"/>
        <v>112.86750000000001</v>
      </c>
      <c r="H59" s="51">
        <v>3.2</v>
      </c>
      <c r="I59" s="52">
        <v>0.77</v>
      </c>
      <c r="J59" s="21">
        <f t="shared" si="4"/>
        <v>2.4640000000000004</v>
      </c>
      <c r="K59" s="11">
        <f t="shared" si="10"/>
        <v>110.40350000000001</v>
      </c>
      <c r="L59" s="11">
        <f t="shared" si="9"/>
        <v>92.002916666666664</v>
      </c>
      <c r="M59" s="2">
        <f t="shared" si="16"/>
        <v>60</v>
      </c>
      <c r="N59" s="10">
        <f t="shared" si="11"/>
        <v>50.403500000000008</v>
      </c>
      <c r="O59" s="49">
        <f t="shared" si="17"/>
        <v>112.86750000000001</v>
      </c>
      <c r="P59" s="41">
        <f t="shared" si="8"/>
        <v>110.40350000000001</v>
      </c>
      <c r="Q59" s="43"/>
      <c r="R59" s="17"/>
      <c r="S59" s="17"/>
      <c r="T59" s="17"/>
      <c r="U59" s="17"/>
      <c r="V59" s="17"/>
      <c r="W59" s="17"/>
      <c r="X59" s="17"/>
      <c r="Y59" s="17"/>
    </row>
    <row r="60" spans="1:25" x14ac:dyDescent="0.3">
      <c r="A60" s="5">
        <f t="shared" si="6"/>
        <v>45975</v>
      </c>
      <c r="B60" s="45" t="s">
        <v>24</v>
      </c>
      <c r="C60" s="18"/>
      <c r="D60" s="19"/>
      <c r="E60" s="19">
        <v>1</v>
      </c>
      <c r="F60" s="7">
        <f t="shared" si="7"/>
        <v>0</v>
      </c>
      <c r="G60" s="25">
        <f t="shared" si="15"/>
        <v>110.40350000000001</v>
      </c>
      <c r="H60" s="51">
        <v>0.5</v>
      </c>
      <c r="I60" s="52">
        <v>0.77</v>
      </c>
      <c r="J60" s="21">
        <f t="shared" si="4"/>
        <v>0.38500000000000001</v>
      </c>
      <c r="K60" s="11">
        <f t="shared" si="10"/>
        <v>110.0185</v>
      </c>
      <c r="L60" s="11">
        <f t="shared" si="9"/>
        <v>91.682083333333338</v>
      </c>
      <c r="M60" s="2">
        <f t="shared" si="16"/>
        <v>60</v>
      </c>
      <c r="N60" s="10">
        <f t="shared" si="11"/>
        <v>50.018500000000003</v>
      </c>
      <c r="O60" s="49">
        <f t="shared" si="17"/>
        <v>110.40350000000001</v>
      </c>
      <c r="P60" s="41">
        <f t="shared" si="8"/>
        <v>110.0185</v>
      </c>
      <c r="Q60" s="17"/>
      <c r="R60" s="17"/>
      <c r="S60" s="17"/>
      <c r="T60" s="17"/>
      <c r="U60" s="17"/>
      <c r="V60" s="17"/>
      <c r="W60" s="17"/>
      <c r="X60" s="17"/>
      <c r="Y60" s="17"/>
    </row>
    <row r="61" spans="1:25" x14ac:dyDescent="0.3">
      <c r="A61" s="5">
        <f t="shared" si="6"/>
        <v>45976</v>
      </c>
      <c r="B61" s="45" t="s">
        <v>24</v>
      </c>
      <c r="C61" s="18"/>
      <c r="D61" s="19">
        <v>30</v>
      </c>
      <c r="E61" s="19">
        <v>1</v>
      </c>
      <c r="F61" s="7">
        <f>D61*E61</f>
        <v>30</v>
      </c>
      <c r="G61" s="25">
        <f t="shared" si="15"/>
        <v>110.0185</v>
      </c>
      <c r="H61" s="51">
        <v>6.5</v>
      </c>
      <c r="I61" s="52">
        <v>0.77</v>
      </c>
      <c r="J61" s="21">
        <f t="shared" si="4"/>
        <v>5.0049999999999999</v>
      </c>
      <c r="K61" s="11">
        <f t="shared" si="10"/>
        <v>120</v>
      </c>
      <c r="L61" s="11">
        <f t="shared" si="9"/>
        <v>100</v>
      </c>
      <c r="M61" s="2">
        <f t="shared" si="16"/>
        <v>60</v>
      </c>
      <c r="N61" s="10">
        <f t="shared" si="11"/>
        <v>60</v>
      </c>
      <c r="O61" s="49">
        <f t="shared" si="17"/>
        <v>110.0185</v>
      </c>
      <c r="P61" s="41">
        <f t="shared" si="8"/>
        <v>120</v>
      </c>
      <c r="Q61" s="43"/>
      <c r="R61" s="17"/>
      <c r="S61" s="17"/>
      <c r="T61" s="17"/>
      <c r="U61" s="17"/>
      <c r="V61" s="17"/>
      <c r="W61" s="17"/>
      <c r="X61" s="17"/>
      <c r="Y61" s="17"/>
    </row>
    <row r="62" spans="1:25" x14ac:dyDescent="0.3">
      <c r="A62" s="5">
        <f t="shared" si="6"/>
        <v>45977</v>
      </c>
      <c r="B62" s="45" t="s">
        <v>24</v>
      </c>
      <c r="C62" s="18"/>
      <c r="D62" s="19">
        <v>7</v>
      </c>
      <c r="E62" s="19">
        <v>1</v>
      </c>
      <c r="F62" s="7">
        <f t="shared" si="7"/>
        <v>7</v>
      </c>
      <c r="G62" s="25">
        <f t="shared" si="15"/>
        <v>120</v>
      </c>
      <c r="H62" s="51">
        <v>6.05</v>
      </c>
      <c r="I62" s="52">
        <v>0.77</v>
      </c>
      <c r="J62" s="21">
        <f t="shared" si="4"/>
        <v>4.6585000000000001</v>
      </c>
      <c r="K62" s="11">
        <f t="shared" si="10"/>
        <v>120</v>
      </c>
      <c r="L62" s="11">
        <f t="shared" si="9"/>
        <v>100</v>
      </c>
      <c r="M62" s="2">
        <f t="shared" si="16"/>
        <v>60</v>
      </c>
      <c r="N62" s="10">
        <f t="shared" si="11"/>
        <v>60</v>
      </c>
      <c r="O62" s="49">
        <f t="shared" si="17"/>
        <v>120</v>
      </c>
      <c r="P62" s="41">
        <f t="shared" si="8"/>
        <v>120</v>
      </c>
      <c r="T62" s="17"/>
      <c r="U62" s="17"/>
      <c r="V62" s="17"/>
      <c r="W62" s="17"/>
      <c r="X62" s="17"/>
      <c r="Y62" s="17"/>
    </row>
    <row r="63" spans="1:25" x14ac:dyDescent="0.3">
      <c r="A63" s="5">
        <f t="shared" si="6"/>
        <v>45978</v>
      </c>
      <c r="B63" s="45" t="s">
        <v>24</v>
      </c>
      <c r="C63" s="18"/>
      <c r="D63" s="19"/>
      <c r="E63" s="19">
        <v>1</v>
      </c>
      <c r="F63" s="7">
        <f t="shared" si="7"/>
        <v>0</v>
      </c>
      <c r="G63" s="25">
        <f t="shared" si="15"/>
        <v>120</v>
      </c>
      <c r="H63" s="51">
        <v>4.8499999999999996</v>
      </c>
      <c r="I63" s="52">
        <v>0.77</v>
      </c>
      <c r="J63" s="21">
        <f t="shared" si="4"/>
        <v>3.7344999999999997</v>
      </c>
      <c r="K63" s="11">
        <f t="shared" si="10"/>
        <v>116.2655</v>
      </c>
      <c r="L63" s="11">
        <f t="shared" si="9"/>
        <v>96.887916666666669</v>
      </c>
      <c r="M63" s="2">
        <f t="shared" si="16"/>
        <v>60</v>
      </c>
      <c r="N63" s="10">
        <f t="shared" si="11"/>
        <v>56.265500000000003</v>
      </c>
      <c r="O63" s="49">
        <f t="shared" si="17"/>
        <v>120</v>
      </c>
      <c r="P63" s="41">
        <f t="shared" si="8"/>
        <v>116.2655</v>
      </c>
      <c r="Q63" s="43"/>
      <c r="R63" s="17"/>
      <c r="S63" s="17"/>
      <c r="T63" s="17"/>
      <c r="U63" s="17"/>
      <c r="V63" s="17"/>
      <c r="W63" s="17"/>
      <c r="X63" s="17"/>
      <c r="Y63" s="17"/>
    </row>
    <row r="64" spans="1:25" x14ac:dyDescent="0.3">
      <c r="A64" s="5">
        <f t="shared" si="6"/>
        <v>45979</v>
      </c>
      <c r="B64" s="45" t="s">
        <v>24</v>
      </c>
      <c r="C64" s="18"/>
      <c r="D64" s="19"/>
      <c r="E64" s="19">
        <v>1</v>
      </c>
      <c r="F64" s="7">
        <f t="shared" si="7"/>
        <v>0</v>
      </c>
      <c r="G64" s="25">
        <f t="shared" si="15"/>
        <v>116.2655</v>
      </c>
      <c r="H64" s="56">
        <v>5</v>
      </c>
      <c r="I64" s="52">
        <v>0.84</v>
      </c>
      <c r="J64" s="21">
        <f>H64*I64</f>
        <v>4.2</v>
      </c>
      <c r="K64" s="11">
        <f>IF(C64+F64+G64-J64&gt;$U$2,$U$2,(IF(C64+F64+G64-J64&lt;0,0,C64+F64+G64-J64)))</f>
        <v>112.0655</v>
      </c>
      <c r="L64" s="11">
        <f t="shared" si="9"/>
        <v>93.387916666666655</v>
      </c>
      <c r="M64" s="2">
        <f t="shared" si="16"/>
        <v>60</v>
      </c>
      <c r="N64" s="10">
        <f t="shared" si="11"/>
        <v>52.0655</v>
      </c>
      <c r="O64" s="49">
        <f t="shared" si="17"/>
        <v>116.2655</v>
      </c>
      <c r="P64" s="41">
        <f t="shared" si="8"/>
        <v>112.0655</v>
      </c>
      <c r="Q64" s="43"/>
      <c r="R64" s="17"/>
      <c r="S64" s="17"/>
      <c r="T64" s="17"/>
      <c r="U64" s="17"/>
      <c r="V64" s="17"/>
      <c r="W64" s="17"/>
      <c r="X64" s="17"/>
      <c r="Y64" s="17"/>
    </row>
    <row r="65" spans="1:25" x14ac:dyDescent="0.3">
      <c r="A65" s="5">
        <f t="shared" si="6"/>
        <v>45980</v>
      </c>
      <c r="B65" s="45" t="s">
        <v>24</v>
      </c>
      <c r="C65" s="18"/>
      <c r="D65" s="19"/>
      <c r="E65" s="19">
        <v>1</v>
      </c>
      <c r="F65" s="7">
        <f t="shared" si="7"/>
        <v>0</v>
      </c>
      <c r="G65" s="25">
        <f t="shared" si="15"/>
        <v>112.0655</v>
      </c>
      <c r="H65" s="56">
        <v>5</v>
      </c>
      <c r="I65" s="52">
        <v>0.84</v>
      </c>
      <c r="J65" s="21">
        <f t="shared" si="4"/>
        <v>4.2</v>
      </c>
      <c r="K65" s="11">
        <f t="shared" si="10"/>
        <v>107.8655</v>
      </c>
      <c r="L65" s="11">
        <f t="shared" si="9"/>
        <v>89.887916666666655</v>
      </c>
      <c r="M65" s="2">
        <f t="shared" si="16"/>
        <v>60</v>
      </c>
      <c r="N65" s="10">
        <f t="shared" si="11"/>
        <v>47.865499999999997</v>
      </c>
      <c r="O65" s="49">
        <f t="shared" si="17"/>
        <v>112.0655</v>
      </c>
      <c r="P65" s="41">
        <f t="shared" si="8"/>
        <v>107.8655</v>
      </c>
      <c r="T65" s="17"/>
      <c r="U65" s="17"/>
      <c r="V65" s="17"/>
      <c r="W65" s="17"/>
      <c r="X65" s="17"/>
      <c r="Y65" s="17"/>
    </row>
    <row r="66" spans="1:25" x14ac:dyDescent="0.3">
      <c r="A66" s="5">
        <f t="shared" si="6"/>
        <v>45981</v>
      </c>
      <c r="B66" s="45" t="s">
        <v>24</v>
      </c>
      <c r="C66" s="18"/>
      <c r="D66" s="19">
        <v>13</v>
      </c>
      <c r="E66" s="19">
        <v>1</v>
      </c>
      <c r="F66" s="7">
        <f t="shared" si="7"/>
        <v>13</v>
      </c>
      <c r="G66" s="25">
        <f t="shared" si="15"/>
        <v>107.8655</v>
      </c>
      <c r="H66" s="51">
        <v>5.0999999999999996</v>
      </c>
      <c r="I66" s="52">
        <v>0.84</v>
      </c>
      <c r="J66" s="21">
        <f t="shared" si="4"/>
        <v>4.2839999999999998</v>
      </c>
      <c r="K66" s="11">
        <f t="shared" si="10"/>
        <v>116.58149999999999</v>
      </c>
      <c r="L66" s="11">
        <f t="shared" si="9"/>
        <v>97.15124999999999</v>
      </c>
      <c r="M66" s="2">
        <f t="shared" si="16"/>
        <v>60</v>
      </c>
      <c r="N66" s="10">
        <f t="shared" si="11"/>
        <v>56.581499999999991</v>
      </c>
      <c r="O66" s="49">
        <f t="shared" si="17"/>
        <v>107.8655</v>
      </c>
      <c r="P66" s="41">
        <f t="shared" si="8"/>
        <v>116.58149999999999</v>
      </c>
      <c r="T66" s="17"/>
      <c r="U66" s="17"/>
      <c r="V66" s="17"/>
      <c r="W66" s="17"/>
      <c r="X66" s="17"/>
      <c r="Y66" s="17"/>
    </row>
    <row r="67" spans="1:25" x14ac:dyDescent="0.3">
      <c r="A67" s="5">
        <f t="shared" si="6"/>
        <v>45982</v>
      </c>
      <c r="B67" s="45" t="s">
        <v>24</v>
      </c>
      <c r="C67" s="18"/>
      <c r="D67" s="19"/>
      <c r="E67" s="19">
        <v>1</v>
      </c>
      <c r="F67" s="7">
        <f t="shared" ref="F67:F130" si="18">D67*E67</f>
        <v>0</v>
      </c>
      <c r="G67" s="25">
        <f t="shared" si="15"/>
        <v>116.58149999999999</v>
      </c>
      <c r="H67" s="51">
        <v>5.3</v>
      </c>
      <c r="I67" s="52">
        <v>0.84</v>
      </c>
      <c r="J67" s="21">
        <f t="shared" ref="J67:J130" si="19">H67*I67</f>
        <v>4.452</v>
      </c>
      <c r="K67" s="11">
        <f t="shared" si="10"/>
        <v>112.12949999999999</v>
      </c>
      <c r="L67" s="11">
        <f t="shared" ref="L67:L127" si="20">K67*100/$U$2</f>
        <v>93.441249999999997</v>
      </c>
      <c r="M67" s="2">
        <f t="shared" si="16"/>
        <v>60</v>
      </c>
      <c r="N67" s="10">
        <f t="shared" ref="N67:N130" si="21">K67-M67</f>
        <v>52.129499999999993</v>
      </c>
      <c r="O67" s="49">
        <f t="shared" ref="O67:O98" si="22">P66</f>
        <v>116.58149999999999</v>
      </c>
      <c r="P67" s="41">
        <f t="shared" si="8"/>
        <v>112.12949999999999</v>
      </c>
      <c r="Q67" s="17"/>
      <c r="R67" s="17"/>
      <c r="S67" s="17"/>
      <c r="T67" s="17"/>
      <c r="U67" s="17"/>
      <c r="V67" s="17"/>
      <c r="W67" s="17"/>
      <c r="X67" s="17"/>
      <c r="Y67" s="17"/>
    </row>
    <row r="68" spans="1:25" x14ac:dyDescent="0.3">
      <c r="A68" s="5">
        <f t="shared" ref="A68:A131" si="23">A67+1</f>
        <v>45983</v>
      </c>
      <c r="B68" s="45" t="s">
        <v>24</v>
      </c>
      <c r="C68" s="18"/>
      <c r="D68" s="19"/>
      <c r="E68" s="19">
        <v>1</v>
      </c>
      <c r="F68" s="7">
        <f t="shared" si="18"/>
        <v>0</v>
      </c>
      <c r="G68" s="25">
        <f t="shared" ref="G68:G131" si="24">K67</f>
        <v>112.12949999999999</v>
      </c>
      <c r="H68" s="51">
        <v>5.6</v>
      </c>
      <c r="I68" s="52">
        <v>0.84</v>
      </c>
      <c r="J68" s="21">
        <f t="shared" si="19"/>
        <v>4.7039999999999997</v>
      </c>
      <c r="K68" s="11">
        <f t="shared" ref="K68:K127" si="25">IF(C68+F68+G68-J68&gt;$U$2,$U$2,(IF(C68+F68+G68-J68&lt;0,0,C68+F68+G68-J68)))</f>
        <v>107.4255</v>
      </c>
      <c r="L68" s="11">
        <f t="shared" si="20"/>
        <v>89.521249999999995</v>
      </c>
      <c r="M68" s="2">
        <f t="shared" si="16"/>
        <v>60</v>
      </c>
      <c r="N68" s="10">
        <f t="shared" si="21"/>
        <v>47.4255</v>
      </c>
      <c r="O68" s="49">
        <f t="shared" si="22"/>
        <v>112.12949999999999</v>
      </c>
      <c r="P68" s="41">
        <f t="shared" ref="P68:P131" si="26">IF(V68+F68+O68-J68&gt;$U$2,$U$2,(IF(V68+F68+O68-J68&lt;0,0,V68+F68+O68-J68)))</f>
        <v>107.4255</v>
      </c>
      <c r="Q68" s="17"/>
      <c r="R68" s="17"/>
      <c r="S68" s="17"/>
      <c r="T68" s="17"/>
      <c r="U68" s="17"/>
      <c r="V68" s="17"/>
      <c r="W68" s="17"/>
      <c r="X68" s="17"/>
      <c r="Y68" s="17"/>
    </row>
    <row r="69" spans="1:25" x14ac:dyDescent="0.3">
      <c r="A69" s="5">
        <f t="shared" si="23"/>
        <v>45984</v>
      </c>
      <c r="B69" s="45" t="s">
        <v>24</v>
      </c>
      <c r="C69" s="18"/>
      <c r="D69" s="19"/>
      <c r="E69" s="19">
        <v>1</v>
      </c>
      <c r="F69" s="7">
        <f t="shared" si="18"/>
        <v>0</v>
      </c>
      <c r="G69" s="25">
        <f t="shared" si="24"/>
        <v>107.4255</v>
      </c>
      <c r="H69" s="51">
        <v>5.9</v>
      </c>
      <c r="I69" s="52">
        <v>0.84</v>
      </c>
      <c r="J69" s="21">
        <f t="shared" si="19"/>
        <v>4.9560000000000004</v>
      </c>
      <c r="K69" s="11">
        <f t="shared" si="25"/>
        <v>102.4695</v>
      </c>
      <c r="L69" s="11">
        <f t="shared" si="20"/>
        <v>85.391249999999985</v>
      </c>
      <c r="M69" s="2">
        <f t="shared" si="16"/>
        <v>60</v>
      </c>
      <c r="N69" s="10">
        <f t="shared" si="21"/>
        <v>42.469499999999996</v>
      </c>
      <c r="O69" s="49">
        <f t="shared" si="22"/>
        <v>107.4255</v>
      </c>
      <c r="P69" s="41">
        <f t="shared" si="26"/>
        <v>102.4695</v>
      </c>
      <c r="Q69" s="17"/>
      <c r="R69" s="17"/>
      <c r="S69" s="17"/>
      <c r="T69" s="17"/>
      <c r="U69" s="17"/>
      <c r="V69" s="17"/>
      <c r="W69" s="17"/>
      <c r="X69" s="17"/>
      <c r="Y69" s="17"/>
    </row>
    <row r="70" spans="1:25" x14ac:dyDescent="0.3">
      <c r="A70" s="5">
        <f t="shared" si="23"/>
        <v>45985</v>
      </c>
      <c r="B70" s="45" t="s">
        <v>24</v>
      </c>
      <c r="C70" s="18"/>
      <c r="D70" s="19"/>
      <c r="E70" s="19">
        <v>1</v>
      </c>
      <c r="F70" s="7">
        <f t="shared" si="18"/>
        <v>0</v>
      </c>
      <c r="G70" s="25">
        <f t="shared" si="24"/>
        <v>102.4695</v>
      </c>
      <c r="H70" s="51">
        <v>4.0999999999999996</v>
      </c>
      <c r="I70" s="52">
        <v>0.84</v>
      </c>
      <c r="J70" s="21">
        <f t="shared" si="19"/>
        <v>3.4439999999999995</v>
      </c>
      <c r="K70" s="11">
        <f t="shared" si="25"/>
        <v>99.025499999999994</v>
      </c>
      <c r="L70" s="11">
        <f t="shared" si="20"/>
        <v>82.521249999999995</v>
      </c>
      <c r="M70" s="2">
        <f t="shared" si="16"/>
        <v>60</v>
      </c>
      <c r="N70" s="10">
        <f t="shared" si="21"/>
        <v>39.025499999999994</v>
      </c>
      <c r="O70" s="49">
        <f t="shared" si="22"/>
        <v>102.4695</v>
      </c>
      <c r="P70" s="41">
        <f t="shared" si="26"/>
        <v>99.025499999999994</v>
      </c>
      <c r="T70" s="17"/>
      <c r="U70" s="17"/>
      <c r="V70" s="17"/>
      <c r="W70" s="17"/>
      <c r="X70" s="17"/>
      <c r="Y70" s="17"/>
    </row>
    <row r="71" spans="1:25" x14ac:dyDescent="0.3">
      <c r="A71" s="5">
        <f t="shared" si="23"/>
        <v>45986</v>
      </c>
      <c r="B71" s="45" t="s">
        <v>24</v>
      </c>
      <c r="C71" s="18"/>
      <c r="D71" s="19"/>
      <c r="E71" s="19">
        <v>1</v>
      </c>
      <c r="F71" s="7">
        <f t="shared" si="18"/>
        <v>0</v>
      </c>
      <c r="G71" s="25">
        <f t="shared" si="24"/>
        <v>99.025499999999994</v>
      </c>
      <c r="H71" s="51">
        <v>5.5</v>
      </c>
      <c r="I71" s="52">
        <v>0.96</v>
      </c>
      <c r="J71" s="21">
        <f t="shared" si="19"/>
        <v>5.2799999999999994</v>
      </c>
      <c r="K71" s="11">
        <f t="shared" si="25"/>
        <v>93.745499999999993</v>
      </c>
      <c r="L71" s="11">
        <f t="shared" si="20"/>
        <v>78.121249999999989</v>
      </c>
      <c r="M71" s="2">
        <f t="shared" si="16"/>
        <v>60</v>
      </c>
      <c r="N71" s="10">
        <f t="shared" si="21"/>
        <v>33.745499999999993</v>
      </c>
      <c r="O71" s="49">
        <f t="shared" si="22"/>
        <v>99.025499999999994</v>
      </c>
      <c r="P71" s="41">
        <f t="shared" si="26"/>
        <v>93.745499999999993</v>
      </c>
      <c r="Q71" s="17"/>
      <c r="R71" s="17"/>
      <c r="S71" s="17"/>
      <c r="T71" s="17"/>
      <c r="U71" s="17"/>
      <c r="V71" s="17"/>
      <c r="W71" s="17"/>
      <c r="X71" s="17"/>
      <c r="Y71" s="17"/>
    </row>
    <row r="72" spans="1:25" x14ac:dyDescent="0.3">
      <c r="A72" s="5">
        <f t="shared" si="23"/>
        <v>45987</v>
      </c>
      <c r="B72" s="45" t="s">
        <v>24</v>
      </c>
      <c r="C72" s="18"/>
      <c r="D72" s="19"/>
      <c r="E72" s="19">
        <v>1</v>
      </c>
      <c r="F72" s="7">
        <f t="shared" si="18"/>
        <v>0</v>
      </c>
      <c r="G72" s="25">
        <f t="shared" si="24"/>
        <v>93.745499999999993</v>
      </c>
      <c r="H72" s="51">
        <v>4</v>
      </c>
      <c r="I72" s="52">
        <v>0.96</v>
      </c>
      <c r="J72" s="21">
        <f t="shared" si="19"/>
        <v>3.84</v>
      </c>
      <c r="K72" s="11">
        <f t="shared" si="25"/>
        <v>89.905499999999989</v>
      </c>
      <c r="L72" s="11">
        <f t="shared" si="20"/>
        <v>74.921250000000001</v>
      </c>
      <c r="M72" s="2">
        <f t="shared" si="16"/>
        <v>60</v>
      </c>
      <c r="N72" s="10">
        <f t="shared" si="21"/>
        <v>29.905499999999989</v>
      </c>
      <c r="O72" s="49">
        <f t="shared" si="22"/>
        <v>93.745499999999993</v>
      </c>
      <c r="P72" s="41">
        <f t="shared" si="26"/>
        <v>89.905499999999989</v>
      </c>
      <c r="Q72" s="17"/>
      <c r="R72" s="17"/>
      <c r="S72" s="17"/>
      <c r="T72" s="17"/>
      <c r="U72" s="17"/>
      <c r="V72" s="17"/>
      <c r="W72" s="17"/>
      <c r="X72" s="17"/>
      <c r="Y72" s="17"/>
    </row>
    <row r="73" spans="1:25" x14ac:dyDescent="0.3">
      <c r="A73" s="5">
        <f t="shared" si="23"/>
        <v>45988</v>
      </c>
      <c r="B73" s="45" t="s">
        <v>24</v>
      </c>
      <c r="C73" s="18"/>
      <c r="D73" s="19"/>
      <c r="E73" s="19">
        <v>1</v>
      </c>
      <c r="F73" s="7">
        <f t="shared" si="18"/>
        <v>0</v>
      </c>
      <c r="G73" s="25">
        <f t="shared" si="24"/>
        <v>89.905499999999989</v>
      </c>
      <c r="H73" s="51">
        <v>3.5</v>
      </c>
      <c r="I73" s="52">
        <v>0.96</v>
      </c>
      <c r="J73" s="21">
        <f t="shared" si="19"/>
        <v>3.36</v>
      </c>
      <c r="K73" s="11">
        <f t="shared" si="25"/>
        <v>86.54549999999999</v>
      </c>
      <c r="L73" s="11">
        <f t="shared" si="20"/>
        <v>72.121249999999989</v>
      </c>
      <c r="M73" s="2">
        <f t="shared" si="16"/>
        <v>60</v>
      </c>
      <c r="N73" s="10">
        <f t="shared" si="21"/>
        <v>26.54549999999999</v>
      </c>
      <c r="O73" s="49">
        <f t="shared" si="22"/>
        <v>89.905499999999989</v>
      </c>
      <c r="P73" s="41">
        <f t="shared" si="26"/>
        <v>86.54549999999999</v>
      </c>
      <c r="Q73" s="17"/>
      <c r="R73" s="17"/>
      <c r="S73" s="17"/>
      <c r="T73" s="17"/>
      <c r="U73" s="17"/>
      <c r="V73" s="17"/>
      <c r="W73" s="17"/>
      <c r="X73" s="17"/>
      <c r="Y73" s="17"/>
    </row>
    <row r="74" spans="1:25" x14ac:dyDescent="0.3">
      <c r="A74" s="5">
        <f t="shared" si="23"/>
        <v>45989</v>
      </c>
      <c r="B74" s="45" t="s">
        <v>24</v>
      </c>
      <c r="C74" s="18"/>
      <c r="D74" s="19"/>
      <c r="E74" s="19">
        <v>1</v>
      </c>
      <c r="F74" s="7">
        <f t="shared" si="18"/>
        <v>0</v>
      </c>
      <c r="G74" s="25">
        <f t="shared" si="24"/>
        <v>86.54549999999999</v>
      </c>
      <c r="H74" s="51">
        <v>4.5</v>
      </c>
      <c r="I74" s="52">
        <v>0.96</v>
      </c>
      <c r="J74" s="21">
        <f t="shared" si="19"/>
        <v>4.32</v>
      </c>
      <c r="K74" s="11">
        <f t="shared" si="25"/>
        <v>82.225499999999982</v>
      </c>
      <c r="L74" s="11">
        <f t="shared" si="20"/>
        <v>68.521249999999981</v>
      </c>
      <c r="M74" s="2">
        <f t="shared" si="16"/>
        <v>60</v>
      </c>
      <c r="N74" s="10">
        <f t="shared" si="21"/>
        <v>22.225499999999982</v>
      </c>
      <c r="O74" s="49">
        <f t="shared" si="22"/>
        <v>86.54549999999999</v>
      </c>
      <c r="P74" s="41">
        <f t="shared" si="26"/>
        <v>82.225499999999982</v>
      </c>
      <c r="Q74" s="17"/>
      <c r="R74" s="17"/>
      <c r="S74" s="17"/>
      <c r="T74" s="17"/>
      <c r="U74" s="17"/>
      <c r="V74" s="17"/>
      <c r="W74" s="17"/>
      <c r="X74" s="17"/>
      <c r="Y74" s="17"/>
    </row>
    <row r="75" spans="1:25" x14ac:dyDescent="0.3">
      <c r="A75" s="5">
        <f t="shared" si="23"/>
        <v>45990</v>
      </c>
      <c r="B75" s="45" t="s">
        <v>24</v>
      </c>
      <c r="C75" s="18"/>
      <c r="D75" s="19"/>
      <c r="E75" s="19">
        <v>1</v>
      </c>
      <c r="F75" s="7">
        <f t="shared" si="18"/>
        <v>0</v>
      </c>
      <c r="G75" s="25">
        <f t="shared" si="24"/>
        <v>82.225499999999982</v>
      </c>
      <c r="H75" s="51">
        <v>5.2</v>
      </c>
      <c r="I75" s="52">
        <v>0.96</v>
      </c>
      <c r="J75" s="21">
        <f t="shared" si="19"/>
        <v>4.992</v>
      </c>
      <c r="K75" s="11">
        <f t="shared" si="25"/>
        <v>77.233499999999978</v>
      </c>
      <c r="L75" s="11">
        <f t="shared" si="20"/>
        <v>64.361249999999984</v>
      </c>
      <c r="M75" s="2">
        <f t="shared" si="16"/>
        <v>60</v>
      </c>
      <c r="N75" s="10">
        <f t="shared" si="21"/>
        <v>17.233499999999978</v>
      </c>
      <c r="O75" s="49">
        <f t="shared" si="22"/>
        <v>82.225499999999982</v>
      </c>
      <c r="P75" s="41">
        <f t="shared" si="26"/>
        <v>77.233499999999978</v>
      </c>
      <c r="Q75" s="17"/>
      <c r="R75" s="17"/>
      <c r="S75" s="17"/>
      <c r="T75" s="17"/>
      <c r="U75" s="17"/>
      <c r="V75" s="17"/>
      <c r="W75" s="17"/>
      <c r="X75" s="17"/>
      <c r="Y75" s="17"/>
    </row>
    <row r="76" spans="1:25" x14ac:dyDescent="0.3">
      <c r="A76" s="5">
        <f t="shared" si="23"/>
        <v>45991</v>
      </c>
      <c r="B76" s="45" t="s">
        <v>24</v>
      </c>
      <c r="C76" s="18"/>
      <c r="D76" s="19"/>
      <c r="E76" s="19">
        <v>1</v>
      </c>
      <c r="F76" s="7">
        <f t="shared" si="18"/>
        <v>0</v>
      </c>
      <c r="G76" s="25">
        <f t="shared" si="24"/>
        <v>77.233499999999978</v>
      </c>
      <c r="H76" s="51">
        <v>0.8</v>
      </c>
      <c r="I76" s="52">
        <v>0.96</v>
      </c>
      <c r="J76" s="21">
        <f t="shared" si="19"/>
        <v>0.76800000000000002</v>
      </c>
      <c r="K76" s="11">
        <f t="shared" si="25"/>
        <v>76.465499999999977</v>
      </c>
      <c r="L76" s="11">
        <f t="shared" si="20"/>
        <v>63.721249999999976</v>
      </c>
      <c r="M76" s="2">
        <f t="shared" si="16"/>
        <v>60</v>
      </c>
      <c r="N76" s="10">
        <f t="shared" si="21"/>
        <v>16.465499999999977</v>
      </c>
      <c r="O76" s="49">
        <f t="shared" si="22"/>
        <v>77.233499999999978</v>
      </c>
      <c r="P76" s="41">
        <f t="shared" si="26"/>
        <v>76.465499999999977</v>
      </c>
      <c r="Q76" s="39">
        <f>AVERAGE(I33:I76)</f>
        <v>0.6925</v>
      </c>
      <c r="R76" s="47">
        <f>AVERAGE(H33:H76)</f>
        <v>4.2772727272727273</v>
      </c>
      <c r="S76" s="47">
        <f>AVERAGE(J33:J76)</f>
        <v>2.9806363636363642</v>
      </c>
      <c r="T76" s="17"/>
      <c r="U76" s="17"/>
      <c r="V76" s="17"/>
      <c r="W76" s="17"/>
      <c r="X76" s="17"/>
      <c r="Y76" s="17"/>
    </row>
    <row r="77" spans="1:25" x14ac:dyDescent="0.3">
      <c r="A77" s="5">
        <f t="shared" si="23"/>
        <v>45992</v>
      </c>
      <c r="B77" s="45" t="s">
        <v>58</v>
      </c>
      <c r="C77" s="18"/>
      <c r="D77" s="19">
        <v>5</v>
      </c>
      <c r="E77" s="19">
        <v>1</v>
      </c>
      <c r="F77" s="7">
        <f t="shared" si="18"/>
        <v>5</v>
      </c>
      <c r="G77" s="25">
        <f t="shared" si="24"/>
        <v>76.465499999999977</v>
      </c>
      <c r="H77" s="51">
        <v>6.2</v>
      </c>
      <c r="I77" s="52">
        <v>0.96</v>
      </c>
      <c r="J77" s="21">
        <f t="shared" si="19"/>
        <v>5.952</v>
      </c>
      <c r="K77" s="11">
        <f t="shared" si="25"/>
        <v>75.513499999999979</v>
      </c>
      <c r="L77" s="11">
        <f t="shared" si="20"/>
        <v>62.927916666666647</v>
      </c>
      <c r="M77" s="2">
        <f t="shared" si="16"/>
        <v>60</v>
      </c>
      <c r="N77" s="10">
        <f t="shared" si="21"/>
        <v>15.513499999999979</v>
      </c>
      <c r="O77" s="49">
        <f t="shared" si="22"/>
        <v>76.465499999999977</v>
      </c>
      <c r="P77" s="41">
        <f t="shared" si="26"/>
        <v>75.513499999999979</v>
      </c>
      <c r="Q77" s="17"/>
      <c r="R77" s="17"/>
      <c r="S77" s="17"/>
      <c r="T77" s="17"/>
      <c r="U77" s="17"/>
      <c r="V77" s="17"/>
      <c r="W77" s="17"/>
      <c r="X77" s="17"/>
      <c r="Y77" s="17"/>
    </row>
    <row r="78" spans="1:25" x14ac:dyDescent="0.3">
      <c r="A78" s="5">
        <f t="shared" si="23"/>
        <v>45993</v>
      </c>
      <c r="B78" s="45" t="s">
        <v>58</v>
      </c>
      <c r="C78" s="18"/>
      <c r="D78" s="19"/>
      <c r="E78" s="19">
        <v>1</v>
      </c>
      <c r="F78" s="7">
        <f t="shared" si="18"/>
        <v>0</v>
      </c>
      <c r="G78" s="25">
        <f t="shared" si="24"/>
        <v>75.513499999999979</v>
      </c>
      <c r="H78" s="51">
        <v>6.3</v>
      </c>
      <c r="I78" s="52">
        <v>0.96</v>
      </c>
      <c r="J78" s="21">
        <f t="shared" si="19"/>
        <v>6.048</v>
      </c>
      <c r="K78" s="11">
        <f t="shared" si="25"/>
        <v>69.465499999999977</v>
      </c>
      <c r="L78" s="11">
        <f t="shared" si="20"/>
        <v>57.887916666666648</v>
      </c>
      <c r="M78" s="2">
        <f t="shared" si="16"/>
        <v>60</v>
      </c>
      <c r="N78" s="10">
        <f t="shared" si="21"/>
        <v>9.4654999999999774</v>
      </c>
      <c r="O78" s="49">
        <f t="shared" si="22"/>
        <v>75.513499999999979</v>
      </c>
      <c r="P78" s="41">
        <f t="shared" si="26"/>
        <v>69.465499999999977</v>
      </c>
      <c r="Q78" s="17"/>
      <c r="R78" s="17"/>
      <c r="S78" s="17"/>
      <c r="T78" s="17"/>
      <c r="U78" s="17"/>
      <c r="V78" s="17"/>
      <c r="W78" s="17"/>
      <c r="X78" s="17"/>
      <c r="Y78" s="17"/>
    </row>
    <row r="79" spans="1:25" x14ac:dyDescent="0.3">
      <c r="A79" s="84">
        <f t="shared" si="23"/>
        <v>45994</v>
      </c>
      <c r="B79" s="45" t="s">
        <v>58</v>
      </c>
      <c r="C79" s="18">
        <v>20</v>
      </c>
      <c r="D79" s="19"/>
      <c r="E79" s="19">
        <v>1</v>
      </c>
      <c r="F79" s="7">
        <f t="shared" si="18"/>
        <v>0</v>
      </c>
      <c r="G79" s="25">
        <f t="shared" si="24"/>
        <v>69.465499999999977</v>
      </c>
      <c r="H79" s="51">
        <v>5.6</v>
      </c>
      <c r="I79" s="52">
        <v>0.96</v>
      </c>
      <c r="J79" s="21">
        <f t="shared" si="19"/>
        <v>5.3759999999999994</v>
      </c>
      <c r="K79" s="11">
        <f t="shared" si="25"/>
        <v>84.089499999999973</v>
      </c>
      <c r="L79" s="11">
        <f t="shared" si="20"/>
        <v>70.074583333333308</v>
      </c>
      <c r="M79" s="2">
        <f t="shared" si="16"/>
        <v>60</v>
      </c>
      <c r="N79" s="10">
        <f t="shared" si="21"/>
        <v>24.089499999999973</v>
      </c>
      <c r="O79" s="49">
        <f t="shared" si="22"/>
        <v>69.465499999999977</v>
      </c>
      <c r="P79" s="41">
        <f t="shared" si="26"/>
        <v>64.089499999999973</v>
      </c>
      <c r="Q79" s="17"/>
      <c r="R79" s="17"/>
      <c r="S79" s="17"/>
      <c r="T79" s="17"/>
      <c r="U79" s="17"/>
      <c r="V79" s="17"/>
      <c r="W79" s="17"/>
      <c r="X79" s="17"/>
      <c r="Y79" s="17"/>
    </row>
    <row r="80" spans="1:25" x14ac:dyDescent="0.3">
      <c r="A80" s="5">
        <f t="shared" si="23"/>
        <v>45995</v>
      </c>
      <c r="B80" s="45" t="s">
        <v>58</v>
      </c>
      <c r="C80" s="18"/>
      <c r="D80" s="19"/>
      <c r="E80" s="19">
        <v>1</v>
      </c>
      <c r="F80" s="65">
        <f t="shared" si="18"/>
        <v>0</v>
      </c>
      <c r="G80" s="25">
        <f t="shared" si="24"/>
        <v>84.089499999999973</v>
      </c>
      <c r="H80" s="51">
        <v>5</v>
      </c>
      <c r="I80" s="52">
        <v>0.96</v>
      </c>
      <c r="J80" s="21">
        <f t="shared" si="19"/>
        <v>4.8</v>
      </c>
      <c r="K80" s="11">
        <f t="shared" si="25"/>
        <v>79.289499999999975</v>
      </c>
      <c r="L80" s="11">
        <f t="shared" si="20"/>
        <v>66.074583333333308</v>
      </c>
      <c r="M80" s="2">
        <f t="shared" si="16"/>
        <v>60</v>
      </c>
      <c r="N80" s="10">
        <f t="shared" si="21"/>
        <v>19.289499999999975</v>
      </c>
      <c r="O80" s="49">
        <f t="shared" si="22"/>
        <v>64.089499999999973</v>
      </c>
      <c r="P80" s="41">
        <f t="shared" si="26"/>
        <v>59.289499999999975</v>
      </c>
      <c r="Q80" s="17"/>
      <c r="R80" s="17"/>
      <c r="S80" s="17"/>
      <c r="T80" s="17"/>
      <c r="U80" s="17"/>
      <c r="V80" s="17"/>
      <c r="W80" s="17"/>
      <c r="X80" s="17"/>
      <c r="Y80" s="17"/>
    </row>
    <row r="81" spans="1:25" x14ac:dyDescent="0.3">
      <c r="A81" s="5">
        <f t="shared" si="23"/>
        <v>45996</v>
      </c>
      <c r="B81" s="45" t="s">
        <v>58</v>
      </c>
      <c r="C81" s="18"/>
      <c r="D81" s="19"/>
      <c r="E81" s="19">
        <v>1</v>
      </c>
      <c r="F81" s="7">
        <f t="shared" si="18"/>
        <v>0</v>
      </c>
      <c r="G81" s="25">
        <f t="shared" si="24"/>
        <v>79.289499999999975</v>
      </c>
      <c r="H81" s="51">
        <v>2</v>
      </c>
      <c r="I81" s="52">
        <v>0.96</v>
      </c>
      <c r="J81" s="21">
        <f t="shared" si="19"/>
        <v>1.92</v>
      </c>
      <c r="K81" s="11">
        <f t="shared" si="25"/>
        <v>77.369499999999974</v>
      </c>
      <c r="L81" s="11">
        <f t="shared" si="20"/>
        <v>64.474583333333314</v>
      </c>
      <c r="M81" s="2">
        <f t="shared" si="16"/>
        <v>60</v>
      </c>
      <c r="N81" s="10">
        <f t="shared" si="21"/>
        <v>17.369499999999974</v>
      </c>
      <c r="O81" s="49">
        <f t="shared" si="22"/>
        <v>59.289499999999975</v>
      </c>
      <c r="P81" s="41">
        <f t="shared" si="26"/>
        <v>57.369499999999974</v>
      </c>
      <c r="T81" s="17"/>
      <c r="U81" s="17"/>
      <c r="V81" s="17"/>
      <c r="W81" s="17"/>
      <c r="X81" s="17"/>
      <c r="Y81" s="17"/>
    </row>
    <row r="82" spans="1:25" x14ac:dyDescent="0.3">
      <c r="A82" s="5">
        <f t="shared" si="23"/>
        <v>45997</v>
      </c>
      <c r="B82" s="45" t="s">
        <v>58</v>
      </c>
      <c r="C82" s="18"/>
      <c r="D82" s="19"/>
      <c r="E82" s="19">
        <v>1</v>
      </c>
      <c r="F82" s="7">
        <f t="shared" si="18"/>
        <v>0</v>
      </c>
      <c r="G82" s="25">
        <f t="shared" si="24"/>
        <v>77.369499999999974</v>
      </c>
      <c r="H82" s="51">
        <v>4.05</v>
      </c>
      <c r="I82" s="52">
        <v>0.96</v>
      </c>
      <c r="J82" s="21">
        <f t="shared" si="19"/>
        <v>3.8879999999999999</v>
      </c>
      <c r="K82" s="11">
        <f t="shared" si="25"/>
        <v>73.481499999999969</v>
      </c>
      <c r="L82" s="11">
        <f t="shared" si="20"/>
        <v>61.234583333333305</v>
      </c>
      <c r="M82" s="2">
        <f>+$U$2*0.6</f>
        <v>72</v>
      </c>
      <c r="N82" s="10">
        <f t="shared" si="21"/>
        <v>1.4814999999999685</v>
      </c>
      <c r="O82" s="49">
        <f t="shared" si="22"/>
        <v>57.369499999999974</v>
      </c>
      <c r="P82" s="41">
        <f t="shared" si="26"/>
        <v>53.481499999999976</v>
      </c>
      <c r="Q82" s="17"/>
      <c r="R82" s="17"/>
      <c r="S82" s="17"/>
      <c r="T82" s="17"/>
      <c r="U82" s="17"/>
      <c r="V82" s="17"/>
      <c r="W82" s="17"/>
      <c r="X82" s="17"/>
      <c r="Y82" s="17"/>
    </row>
    <row r="83" spans="1:25" x14ac:dyDescent="0.3">
      <c r="A83" s="84">
        <f t="shared" si="23"/>
        <v>45998</v>
      </c>
      <c r="B83" s="45" t="s">
        <v>58</v>
      </c>
      <c r="C83" s="18">
        <v>20</v>
      </c>
      <c r="D83" s="19"/>
      <c r="E83" s="19">
        <v>1</v>
      </c>
      <c r="F83" s="7">
        <f t="shared" si="18"/>
        <v>0</v>
      </c>
      <c r="G83" s="25">
        <f t="shared" si="24"/>
        <v>73.481499999999969</v>
      </c>
      <c r="H83" s="51">
        <v>6.2</v>
      </c>
      <c r="I83" s="52">
        <v>0.96</v>
      </c>
      <c r="J83" s="21">
        <f t="shared" si="19"/>
        <v>5.952</v>
      </c>
      <c r="K83" s="11">
        <f t="shared" si="25"/>
        <v>87.52949999999997</v>
      </c>
      <c r="L83" s="11">
        <f t="shared" si="20"/>
        <v>72.941249999999982</v>
      </c>
      <c r="M83" s="2">
        <f t="shared" ref="M83:M127" si="27">+$U$2*0.6</f>
        <v>72</v>
      </c>
      <c r="N83" s="10">
        <f t="shared" si="21"/>
        <v>15.52949999999997</v>
      </c>
      <c r="O83" s="49">
        <f t="shared" si="22"/>
        <v>53.481499999999976</v>
      </c>
      <c r="P83" s="41">
        <f t="shared" si="26"/>
        <v>47.529499999999977</v>
      </c>
      <c r="Q83" s="17"/>
      <c r="R83" s="17"/>
      <c r="S83" s="17"/>
      <c r="T83" s="17"/>
      <c r="U83" s="17"/>
      <c r="V83" s="17"/>
      <c r="W83" s="17"/>
      <c r="X83" s="17"/>
      <c r="Y83" s="17"/>
    </row>
    <row r="84" spans="1:25" x14ac:dyDescent="0.3">
      <c r="A84" s="5">
        <f t="shared" si="23"/>
        <v>45999</v>
      </c>
      <c r="B84" s="45" t="s">
        <v>58</v>
      </c>
      <c r="C84" s="18"/>
      <c r="D84" s="19"/>
      <c r="E84" s="19">
        <v>1</v>
      </c>
      <c r="F84" s="7">
        <f t="shared" si="18"/>
        <v>0</v>
      </c>
      <c r="G84" s="25">
        <f t="shared" si="24"/>
        <v>87.52949999999997</v>
      </c>
      <c r="H84" s="51">
        <v>3.05</v>
      </c>
      <c r="I84" s="52">
        <v>0.96</v>
      </c>
      <c r="J84" s="21">
        <f t="shared" si="19"/>
        <v>2.9279999999999999</v>
      </c>
      <c r="K84" s="11">
        <f t="shared" si="25"/>
        <v>84.601499999999973</v>
      </c>
      <c r="L84" s="11">
        <f t="shared" si="20"/>
        <v>70.501249999999985</v>
      </c>
      <c r="M84" s="2">
        <f t="shared" si="27"/>
        <v>72</v>
      </c>
      <c r="N84" s="10">
        <f t="shared" si="21"/>
        <v>12.601499999999973</v>
      </c>
      <c r="O84" s="49">
        <f t="shared" si="22"/>
        <v>47.529499999999977</v>
      </c>
      <c r="P84" s="41">
        <f t="shared" si="26"/>
        <v>44.60149999999998</v>
      </c>
      <c r="Q84" s="17"/>
      <c r="R84" s="17"/>
      <c r="S84" s="17"/>
      <c r="T84" s="17"/>
      <c r="U84" s="17"/>
      <c r="V84" s="17"/>
      <c r="W84" s="17"/>
      <c r="X84" s="17"/>
      <c r="Y84" s="17"/>
    </row>
    <row r="85" spans="1:25" x14ac:dyDescent="0.3">
      <c r="A85" s="5">
        <f t="shared" si="23"/>
        <v>46000</v>
      </c>
      <c r="B85" s="45" t="s">
        <v>58</v>
      </c>
      <c r="C85" s="18"/>
      <c r="D85" s="19"/>
      <c r="E85" s="19">
        <v>1</v>
      </c>
      <c r="F85" s="7">
        <f t="shared" si="18"/>
        <v>0</v>
      </c>
      <c r="G85" s="25">
        <f t="shared" si="24"/>
        <v>84.601499999999973</v>
      </c>
      <c r="H85" s="51">
        <v>7</v>
      </c>
      <c r="I85" s="52">
        <v>1</v>
      </c>
      <c r="J85" s="21">
        <f t="shared" si="19"/>
        <v>7</v>
      </c>
      <c r="K85" s="11">
        <f t="shared" si="25"/>
        <v>77.601499999999973</v>
      </c>
      <c r="L85" s="11">
        <f t="shared" si="20"/>
        <v>64.667916666666642</v>
      </c>
      <c r="M85" s="2">
        <f t="shared" si="27"/>
        <v>72</v>
      </c>
      <c r="N85" s="10">
        <f t="shared" si="21"/>
        <v>5.6014999999999731</v>
      </c>
      <c r="O85" s="49">
        <f t="shared" si="22"/>
        <v>44.60149999999998</v>
      </c>
      <c r="P85" s="41">
        <f t="shared" si="26"/>
        <v>37.60149999999998</v>
      </c>
      <c r="T85" s="17"/>
      <c r="U85" s="17"/>
      <c r="V85" s="17"/>
      <c r="W85" s="17"/>
      <c r="X85" s="17"/>
      <c r="Y85" s="17"/>
    </row>
    <row r="86" spans="1:25" x14ac:dyDescent="0.3">
      <c r="A86" s="84">
        <f t="shared" si="23"/>
        <v>46001</v>
      </c>
      <c r="B86" s="45" t="s">
        <v>58</v>
      </c>
      <c r="C86" s="18">
        <v>20</v>
      </c>
      <c r="D86" s="19"/>
      <c r="E86" s="19">
        <v>1</v>
      </c>
      <c r="F86" s="7">
        <f t="shared" si="18"/>
        <v>0</v>
      </c>
      <c r="G86" s="25">
        <f t="shared" si="24"/>
        <v>77.601499999999973</v>
      </c>
      <c r="H86" s="51">
        <v>7.2</v>
      </c>
      <c r="I86" s="52">
        <v>1</v>
      </c>
      <c r="J86" s="21">
        <f t="shared" si="19"/>
        <v>7.2</v>
      </c>
      <c r="K86" s="11">
        <f t="shared" si="25"/>
        <v>90.40149999999997</v>
      </c>
      <c r="L86" s="11">
        <f t="shared" si="20"/>
        <v>75.334583333333313</v>
      </c>
      <c r="M86" s="2">
        <f t="shared" si="27"/>
        <v>72</v>
      </c>
      <c r="N86" s="10">
        <f t="shared" si="21"/>
        <v>18.40149999999997</v>
      </c>
      <c r="O86" s="49">
        <f t="shared" si="22"/>
        <v>37.60149999999998</v>
      </c>
      <c r="P86" s="41">
        <f t="shared" si="26"/>
        <v>30.401499999999981</v>
      </c>
      <c r="Q86" s="17"/>
      <c r="R86" s="17"/>
      <c r="S86" s="17"/>
      <c r="T86" s="17"/>
      <c r="U86" s="17"/>
      <c r="V86" s="17"/>
      <c r="W86" s="17"/>
      <c r="X86" s="17"/>
      <c r="Y86" s="17"/>
    </row>
    <row r="87" spans="1:25" x14ac:dyDescent="0.3">
      <c r="A87" s="5">
        <f t="shared" si="23"/>
        <v>46002</v>
      </c>
      <c r="B87" s="45" t="s">
        <v>58</v>
      </c>
      <c r="C87" s="18"/>
      <c r="D87" s="19"/>
      <c r="E87" s="19">
        <v>1</v>
      </c>
      <c r="F87" s="7">
        <f t="shared" si="18"/>
        <v>0</v>
      </c>
      <c r="G87" s="25">
        <f t="shared" si="24"/>
        <v>90.40149999999997</v>
      </c>
      <c r="H87" s="51">
        <v>4.8</v>
      </c>
      <c r="I87" s="52">
        <v>1</v>
      </c>
      <c r="J87" s="21">
        <f t="shared" si="19"/>
        <v>4.8</v>
      </c>
      <c r="K87" s="11">
        <f t="shared" si="25"/>
        <v>85.601499999999973</v>
      </c>
      <c r="L87" s="11">
        <f t="shared" si="20"/>
        <v>71.334583333333313</v>
      </c>
      <c r="M87" s="2">
        <f t="shared" si="27"/>
        <v>72</v>
      </c>
      <c r="N87" s="10">
        <f t="shared" si="21"/>
        <v>13.601499999999973</v>
      </c>
      <c r="O87" s="49">
        <f t="shared" si="22"/>
        <v>30.401499999999981</v>
      </c>
      <c r="P87" s="41">
        <f t="shared" si="26"/>
        <v>25.60149999999998</v>
      </c>
      <c r="Q87" s="17"/>
      <c r="R87" s="17"/>
      <c r="S87" s="17"/>
      <c r="T87" s="17"/>
      <c r="U87" s="17"/>
      <c r="V87" s="17"/>
      <c r="W87" s="17"/>
      <c r="X87" s="17"/>
      <c r="Y87" s="17"/>
    </row>
    <row r="88" spans="1:25" x14ac:dyDescent="0.3">
      <c r="A88" s="5">
        <f t="shared" si="23"/>
        <v>46003</v>
      </c>
      <c r="B88" s="45" t="s">
        <v>58</v>
      </c>
      <c r="C88" s="18"/>
      <c r="D88" s="19"/>
      <c r="E88" s="19">
        <v>1</v>
      </c>
      <c r="F88" s="7">
        <f t="shared" si="18"/>
        <v>0</v>
      </c>
      <c r="G88" s="25">
        <f t="shared" si="24"/>
        <v>85.601499999999973</v>
      </c>
      <c r="H88" s="51">
        <v>4</v>
      </c>
      <c r="I88" s="52">
        <v>1</v>
      </c>
      <c r="J88" s="21">
        <f t="shared" si="19"/>
        <v>4</v>
      </c>
      <c r="K88" s="11">
        <f t="shared" si="25"/>
        <v>81.601499999999973</v>
      </c>
      <c r="L88" s="11">
        <f t="shared" si="20"/>
        <v>68.00124999999997</v>
      </c>
      <c r="M88" s="2">
        <f t="shared" si="27"/>
        <v>72</v>
      </c>
      <c r="N88" s="10">
        <f t="shared" si="21"/>
        <v>9.6014999999999731</v>
      </c>
      <c r="O88" s="49">
        <f t="shared" si="22"/>
        <v>25.60149999999998</v>
      </c>
      <c r="P88" s="41">
        <f t="shared" si="26"/>
        <v>21.60149999999998</v>
      </c>
      <c r="Q88" s="17"/>
      <c r="R88" s="17"/>
      <c r="S88" s="17"/>
      <c r="T88" s="17"/>
      <c r="U88" s="17"/>
      <c r="V88" s="17"/>
      <c r="W88" s="17"/>
      <c r="X88" s="17"/>
      <c r="Y88" s="17"/>
    </row>
    <row r="89" spans="1:25" x14ac:dyDescent="0.3">
      <c r="A89" s="84">
        <f t="shared" si="23"/>
        <v>46004</v>
      </c>
      <c r="B89" s="45" t="s">
        <v>58</v>
      </c>
      <c r="C89" s="18">
        <v>20</v>
      </c>
      <c r="D89" s="19"/>
      <c r="E89" s="19">
        <v>1</v>
      </c>
      <c r="F89" s="7">
        <f t="shared" si="18"/>
        <v>0</v>
      </c>
      <c r="G89" s="25">
        <f t="shared" si="24"/>
        <v>81.601499999999973</v>
      </c>
      <c r="H89" s="51">
        <v>6</v>
      </c>
      <c r="I89" s="52">
        <v>1</v>
      </c>
      <c r="J89" s="21">
        <f t="shared" si="19"/>
        <v>6</v>
      </c>
      <c r="K89" s="11">
        <f t="shared" si="25"/>
        <v>95.601499999999973</v>
      </c>
      <c r="L89" s="11">
        <f t="shared" si="20"/>
        <v>79.667916666666642</v>
      </c>
      <c r="M89" s="2">
        <f t="shared" si="27"/>
        <v>72</v>
      </c>
      <c r="N89" s="10">
        <f t="shared" si="21"/>
        <v>23.601499999999973</v>
      </c>
      <c r="O89" s="49">
        <f t="shared" si="22"/>
        <v>21.60149999999998</v>
      </c>
      <c r="P89" s="41">
        <f t="shared" si="26"/>
        <v>15.60149999999998</v>
      </c>
      <c r="Q89" s="17"/>
      <c r="R89" s="17"/>
      <c r="S89" s="17"/>
      <c r="T89" s="17"/>
      <c r="U89" s="17"/>
      <c r="V89" s="17"/>
      <c r="W89" s="17"/>
      <c r="X89" s="17"/>
      <c r="Y89" s="17"/>
    </row>
    <row r="90" spans="1:25" x14ac:dyDescent="0.3">
      <c r="A90" s="5">
        <f t="shared" si="23"/>
        <v>46005</v>
      </c>
      <c r="B90" s="45" t="s">
        <v>58</v>
      </c>
      <c r="C90" s="18"/>
      <c r="D90" s="19"/>
      <c r="E90" s="19">
        <v>1</v>
      </c>
      <c r="F90" s="7">
        <f t="shared" si="18"/>
        <v>0</v>
      </c>
      <c r="G90" s="25">
        <f t="shared" si="24"/>
        <v>95.601499999999973</v>
      </c>
      <c r="H90" s="51">
        <v>6.9</v>
      </c>
      <c r="I90" s="52">
        <v>1</v>
      </c>
      <c r="J90" s="21">
        <f t="shared" si="19"/>
        <v>6.9</v>
      </c>
      <c r="K90" s="11">
        <f t="shared" si="25"/>
        <v>88.701499999999967</v>
      </c>
      <c r="L90" s="11">
        <f t="shared" si="20"/>
        <v>73.917916666666628</v>
      </c>
      <c r="M90" s="2">
        <f t="shared" si="27"/>
        <v>72</v>
      </c>
      <c r="N90" s="10">
        <f t="shared" si="21"/>
        <v>16.701499999999967</v>
      </c>
      <c r="O90" s="49">
        <f t="shared" si="22"/>
        <v>15.60149999999998</v>
      </c>
      <c r="P90" s="41">
        <f t="shared" si="26"/>
        <v>8.7014999999999798</v>
      </c>
      <c r="Q90" s="17"/>
      <c r="R90" s="17"/>
      <c r="S90" s="17"/>
      <c r="T90" s="17"/>
      <c r="U90" s="17"/>
      <c r="V90" s="17"/>
      <c r="W90" s="17"/>
      <c r="X90" s="17"/>
      <c r="Y90" s="17"/>
    </row>
    <row r="91" spans="1:25" x14ac:dyDescent="0.3">
      <c r="A91" s="5">
        <f t="shared" si="23"/>
        <v>46006</v>
      </c>
      <c r="B91" s="45" t="s">
        <v>58</v>
      </c>
      <c r="C91" s="18"/>
      <c r="D91" s="19"/>
      <c r="E91" s="19">
        <v>1</v>
      </c>
      <c r="F91" s="7">
        <f t="shared" si="18"/>
        <v>0</v>
      </c>
      <c r="G91" s="25">
        <f t="shared" si="24"/>
        <v>88.701499999999967</v>
      </c>
      <c r="H91" s="51">
        <v>7</v>
      </c>
      <c r="I91" s="52">
        <v>1</v>
      </c>
      <c r="J91" s="21">
        <f t="shared" si="19"/>
        <v>7</v>
      </c>
      <c r="K91" s="11">
        <f t="shared" si="25"/>
        <v>81.701499999999967</v>
      </c>
      <c r="L91" s="11">
        <f t="shared" si="20"/>
        <v>68.084583333333313</v>
      </c>
      <c r="M91" s="2">
        <f t="shared" si="27"/>
        <v>72</v>
      </c>
      <c r="N91" s="10">
        <f t="shared" si="21"/>
        <v>9.7014999999999674</v>
      </c>
      <c r="O91" s="49">
        <f t="shared" si="22"/>
        <v>8.7014999999999798</v>
      </c>
      <c r="P91" s="41">
        <f t="shared" si="26"/>
        <v>1.7014999999999798</v>
      </c>
      <c r="Q91" s="43"/>
      <c r="R91" s="17"/>
      <c r="S91" s="17"/>
      <c r="T91" s="17"/>
      <c r="U91" s="17"/>
      <c r="V91" s="17"/>
      <c r="W91" s="17"/>
      <c r="X91" s="17"/>
      <c r="Y91" s="17"/>
    </row>
    <row r="92" spans="1:25" x14ac:dyDescent="0.3">
      <c r="A92" s="5">
        <f t="shared" si="23"/>
        <v>46007</v>
      </c>
      <c r="B92" s="45" t="s">
        <v>58</v>
      </c>
      <c r="C92" s="18"/>
      <c r="D92" s="19"/>
      <c r="E92" s="19">
        <v>1</v>
      </c>
      <c r="F92" s="7">
        <f t="shared" si="18"/>
        <v>0</v>
      </c>
      <c r="G92" s="25">
        <f t="shared" si="24"/>
        <v>81.701499999999967</v>
      </c>
      <c r="H92" s="51">
        <v>7.2</v>
      </c>
      <c r="I92" s="52">
        <v>1</v>
      </c>
      <c r="J92" s="21">
        <f t="shared" si="19"/>
        <v>7.2</v>
      </c>
      <c r="K92" s="11">
        <f t="shared" si="25"/>
        <v>74.501499999999965</v>
      </c>
      <c r="L92" s="11">
        <f t="shared" si="20"/>
        <v>62.084583333333299</v>
      </c>
      <c r="M92" s="2">
        <f t="shared" si="27"/>
        <v>72</v>
      </c>
      <c r="N92" s="10">
        <f t="shared" si="21"/>
        <v>2.5014999999999645</v>
      </c>
      <c r="O92" s="49">
        <f t="shared" si="22"/>
        <v>1.7014999999999798</v>
      </c>
      <c r="P92" s="41">
        <f t="shared" si="26"/>
        <v>0</v>
      </c>
      <c r="T92" s="17"/>
      <c r="U92" s="17"/>
      <c r="V92" s="17"/>
      <c r="W92" s="17"/>
      <c r="X92" s="17"/>
      <c r="Y92" s="17"/>
    </row>
    <row r="93" spans="1:25" x14ac:dyDescent="0.3">
      <c r="A93" s="5">
        <f t="shared" si="23"/>
        <v>46008</v>
      </c>
      <c r="B93" s="45" t="s">
        <v>58</v>
      </c>
      <c r="C93" s="18"/>
      <c r="D93" s="19"/>
      <c r="E93" s="19">
        <v>1</v>
      </c>
      <c r="F93" s="7">
        <f t="shared" si="18"/>
        <v>0</v>
      </c>
      <c r="G93" s="25">
        <f t="shared" si="24"/>
        <v>74.501499999999965</v>
      </c>
      <c r="H93" s="51">
        <v>1.95</v>
      </c>
      <c r="I93" s="52">
        <v>1</v>
      </c>
      <c r="J93" s="21">
        <f t="shared" si="19"/>
        <v>1.95</v>
      </c>
      <c r="K93" s="11">
        <f t="shared" si="25"/>
        <v>72.551499999999962</v>
      </c>
      <c r="L93" s="11">
        <f t="shared" si="20"/>
        <v>60.459583333333299</v>
      </c>
      <c r="M93" s="2">
        <f t="shared" si="27"/>
        <v>72</v>
      </c>
      <c r="N93" s="10">
        <f t="shared" si="21"/>
        <v>0.55149999999996169</v>
      </c>
      <c r="O93" s="49">
        <f t="shared" si="22"/>
        <v>0</v>
      </c>
      <c r="P93" s="41">
        <f t="shared" si="26"/>
        <v>0</v>
      </c>
      <c r="Q93" s="43"/>
      <c r="R93" s="17"/>
      <c r="S93" s="17"/>
      <c r="T93" s="17"/>
      <c r="U93" s="17"/>
      <c r="V93" s="17"/>
      <c r="W93" s="17"/>
      <c r="X93" s="17"/>
      <c r="Y93" s="17"/>
    </row>
    <row r="94" spans="1:25" x14ac:dyDescent="0.3">
      <c r="A94" s="5">
        <f t="shared" si="23"/>
        <v>46009</v>
      </c>
      <c r="B94" s="45" t="s">
        <v>58</v>
      </c>
      <c r="C94" s="18"/>
      <c r="D94" s="19"/>
      <c r="E94" s="19">
        <v>1</v>
      </c>
      <c r="F94" s="7">
        <f t="shared" si="18"/>
        <v>0</v>
      </c>
      <c r="G94" s="25">
        <f t="shared" si="24"/>
        <v>72.551499999999962</v>
      </c>
      <c r="H94" s="51">
        <v>3.4</v>
      </c>
      <c r="I94" s="52">
        <v>1.1000000000000001</v>
      </c>
      <c r="J94" s="21">
        <f t="shared" si="19"/>
        <v>3.74</v>
      </c>
      <c r="K94" s="11">
        <f t="shared" si="25"/>
        <v>68.811499999999967</v>
      </c>
      <c r="L94" s="11">
        <f t="shared" si="20"/>
        <v>57.342916666666639</v>
      </c>
      <c r="M94" s="2">
        <f t="shared" si="27"/>
        <v>72</v>
      </c>
      <c r="N94" s="10">
        <f t="shared" si="21"/>
        <v>-3.1885000000000332</v>
      </c>
      <c r="O94" s="49">
        <f t="shared" si="22"/>
        <v>0</v>
      </c>
      <c r="P94" s="41">
        <f t="shared" si="26"/>
        <v>0</v>
      </c>
      <c r="Q94" s="43"/>
      <c r="R94" s="17"/>
      <c r="S94" s="17"/>
      <c r="T94" s="17"/>
      <c r="U94" s="17"/>
      <c r="V94" s="17"/>
      <c r="W94" s="17"/>
      <c r="X94" s="17"/>
      <c r="Y94" s="17"/>
    </row>
    <row r="95" spans="1:25" x14ac:dyDescent="0.3">
      <c r="A95" s="5">
        <f t="shared" si="23"/>
        <v>46010</v>
      </c>
      <c r="B95" s="45" t="s">
        <v>58</v>
      </c>
      <c r="C95" s="18"/>
      <c r="D95" s="19"/>
      <c r="E95" s="19">
        <v>1</v>
      </c>
      <c r="F95" s="7">
        <f t="shared" si="18"/>
        <v>0</v>
      </c>
      <c r="G95" s="25">
        <f t="shared" si="24"/>
        <v>68.811499999999967</v>
      </c>
      <c r="H95" s="51">
        <v>2.9</v>
      </c>
      <c r="I95" s="52">
        <v>1.1000000000000001</v>
      </c>
      <c r="J95" s="21">
        <f t="shared" si="19"/>
        <v>3.19</v>
      </c>
      <c r="K95" s="11">
        <f t="shared" si="25"/>
        <v>65.621499999999969</v>
      </c>
      <c r="L95" s="11">
        <f t="shared" si="20"/>
        <v>54.684583333333308</v>
      </c>
      <c r="M95" s="2">
        <f t="shared" si="27"/>
        <v>72</v>
      </c>
      <c r="N95" s="10">
        <f t="shared" si="21"/>
        <v>-6.3785000000000309</v>
      </c>
      <c r="O95" s="49">
        <f t="shared" si="22"/>
        <v>0</v>
      </c>
      <c r="P95" s="41">
        <f t="shared" si="26"/>
        <v>0</v>
      </c>
      <c r="Q95" s="17"/>
      <c r="R95" s="17"/>
      <c r="S95" s="17"/>
      <c r="T95" s="17"/>
      <c r="U95" s="17"/>
      <c r="V95" s="17"/>
      <c r="W95" s="17"/>
      <c r="X95" s="17"/>
      <c r="Y95" s="17"/>
    </row>
    <row r="96" spans="1:25" x14ac:dyDescent="0.3">
      <c r="A96" s="5">
        <f t="shared" si="23"/>
        <v>46011</v>
      </c>
      <c r="B96" s="45" t="s">
        <v>58</v>
      </c>
      <c r="C96" s="18"/>
      <c r="D96" s="19"/>
      <c r="E96" s="19">
        <v>1</v>
      </c>
      <c r="F96" s="7">
        <f t="shared" si="18"/>
        <v>0</v>
      </c>
      <c r="G96" s="25">
        <f t="shared" si="24"/>
        <v>65.621499999999969</v>
      </c>
      <c r="H96" s="51">
        <v>6</v>
      </c>
      <c r="I96" s="52">
        <v>1.1000000000000001</v>
      </c>
      <c r="J96" s="21">
        <f t="shared" si="19"/>
        <v>6.6000000000000005</v>
      </c>
      <c r="K96" s="11">
        <f t="shared" si="25"/>
        <v>59.021499999999968</v>
      </c>
      <c r="L96" s="11">
        <f t="shared" si="20"/>
        <v>49.184583333333308</v>
      </c>
      <c r="M96" s="2">
        <f t="shared" si="27"/>
        <v>72</v>
      </c>
      <c r="N96" s="10">
        <f t="shared" si="21"/>
        <v>-12.978500000000032</v>
      </c>
      <c r="O96" s="49">
        <f t="shared" si="22"/>
        <v>0</v>
      </c>
      <c r="P96" s="41">
        <f t="shared" si="26"/>
        <v>0</v>
      </c>
      <c r="Q96" s="17"/>
      <c r="R96" s="17"/>
      <c r="S96" s="17"/>
      <c r="T96" s="17"/>
      <c r="U96" s="17"/>
      <c r="V96" s="17"/>
      <c r="W96" s="17"/>
      <c r="X96" s="17"/>
      <c r="Y96" s="17"/>
    </row>
    <row r="97" spans="1:25" x14ac:dyDescent="0.3">
      <c r="A97" s="5">
        <f t="shared" si="23"/>
        <v>46012</v>
      </c>
      <c r="B97" s="45" t="s">
        <v>58</v>
      </c>
      <c r="C97" s="18"/>
      <c r="D97" s="19">
        <v>29</v>
      </c>
      <c r="E97" s="19">
        <v>1</v>
      </c>
      <c r="F97" s="7">
        <f t="shared" si="18"/>
        <v>29</v>
      </c>
      <c r="G97" s="25">
        <f t="shared" si="24"/>
        <v>59.021499999999968</v>
      </c>
      <c r="H97" s="51">
        <v>6</v>
      </c>
      <c r="I97" s="52">
        <v>1.1000000000000001</v>
      </c>
      <c r="J97" s="21">
        <f t="shared" si="19"/>
        <v>6.6000000000000005</v>
      </c>
      <c r="K97" s="11">
        <f t="shared" si="25"/>
        <v>81.42149999999998</v>
      </c>
      <c r="L97" s="11">
        <f t="shared" si="20"/>
        <v>67.851249999999979</v>
      </c>
      <c r="M97" s="2">
        <f t="shared" si="27"/>
        <v>72</v>
      </c>
      <c r="N97" s="10">
        <f t="shared" si="21"/>
        <v>9.4214999999999804</v>
      </c>
      <c r="O97" s="49">
        <f t="shared" si="22"/>
        <v>0</v>
      </c>
      <c r="P97" s="41">
        <f t="shared" si="26"/>
        <v>22.4</v>
      </c>
      <c r="Q97" s="17"/>
      <c r="R97" s="17"/>
      <c r="S97" s="17"/>
      <c r="T97" s="17"/>
      <c r="U97" s="17"/>
      <c r="V97" s="17"/>
      <c r="W97" s="17"/>
      <c r="X97" s="17"/>
      <c r="Y97" s="17"/>
    </row>
    <row r="98" spans="1:25" x14ac:dyDescent="0.3">
      <c r="A98" s="84">
        <f t="shared" si="23"/>
        <v>46013</v>
      </c>
      <c r="B98" s="45" t="s">
        <v>58</v>
      </c>
      <c r="C98" s="18">
        <v>20</v>
      </c>
      <c r="D98" s="19"/>
      <c r="E98" s="19">
        <v>1</v>
      </c>
      <c r="F98" s="7">
        <f t="shared" si="18"/>
        <v>0</v>
      </c>
      <c r="G98" s="25">
        <f t="shared" si="24"/>
        <v>81.42149999999998</v>
      </c>
      <c r="H98" s="51">
        <v>6.4</v>
      </c>
      <c r="I98" s="52">
        <v>1.1000000000000001</v>
      </c>
      <c r="J98" s="21">
        <f t="shared" si="19"/>
        <v>7.0400000000000009</v>
      </c>
      <c r="K98" s="11">
        <f t="shared" si="25"/>
        <v>94.381499999999974</v>
      </c>
      <c r="L98" s="11">
        <f t="shared" si="20"/>
        <v>78.651249999999976</v>
      </c>
      <c r="M98" s="2">
        <f t="shared" si="27"/>
        <v>72</v>
      </c>
      <c r="N98" s="10">
        <f t="shared" si="21"/>
        <v>22.381499999999974</v>
      </c>
      <c r="O98" s="49">
        <f t="shared" si="22"/>
        <v>22.4</v>
      </c>
      <c r="P98" s="41">
        <f t="shared" si="26"/>
        <v>15.359999999999998</v>
      </c>
      <c r="Q98" s="17"/>
      <c r="R98" s="17"/>
      <c r="S98" s="17"/>
      <c r="T98" s="17"/>
      <c r="U98" s="17"/>
      <c r="V98" s="17"/>
      <c r="W98" s="17"/>
      <c r="X98" s="17"/>
      <c r="Y98" s="17"/>
    </row>
    <row r="99" spans="1:25" x14ac:dyDescent="0.3">
      <c r="A99" s="5">
        <f t="shared" si="23"/>
        <v>46014</v>
      </c>
      <c r="B99" s="45" t="s">
        <v>58</v>
      </c>
      <c r="C99" s="18"/>
      <c r="D99" s="19"/>
      <c r="E99" s="19">
        <v>1</v>
      </c>
      <c r="F99" s="7">
        <f t="shared" si="18"/>
        <v>0</v>
      </c>
      <c r="G99" s="25">
        <f t="shared" si="24"/>
        <v>94.381499999999974</v>
      </c>
      <c r="H99" s="51">
        <v>6.55</v>
      </c>
      <c r="I99" s="52">
        <v>1.1000000000000001</v>
      </c>
      <c r="J99" s="21">
        <f t="shared" si="19"/>
        <v>7.2050000000000001</v>
      </c>
      <c r="K99" s="11">
        <f t="shared" si="25"/>
        <v>87.176499999999976</v>
      </c>
      <c r="L99" s="11">
        <f t="shared" si="20"/>
        <v>72.647083333333313</v>
      </c>
      <c r="M99" s="2">
        <f t="shared" si="27"/>
        <v>72</v>
      </c>
      <c r="N99" s="10">
        <f t="shared" si="21"/>
        <v>15.176499999999976</v>
      </c>
      <c r="O99" s="49">
        <f t="shared" ref="O99:O130" si="28">P98</f>
        <v>15.359999999999998</v>
      </c>
      <c r="P99" s="41">
        <f t="shared" si="26"/>
        <v>8.1549999999999976</v>
      </c>
      <c r="Q99" s="17"/>
      <c r="R99" s="17"/>
      <c r="S99" s="17"/>
      <c r="T99" s="17"/>
      <c r="U99" s="17"/>
      <c r="V99" s="17"/>
      <c r="W99" s="17"/>
      <c r="X99" s="17"/>
      <c r="Y99" s="17"/>
    </row>
    <row r="100" spans="1:25" x14ac:dyDescent="0.3">
      <c r="A100" s="5">
        <f t="shared" si="23"/>
        <v>46015</v>
      </c>
      <c r="B100" s="45" t="s">
        <v>58</v>
      </c>
      <c r="C100" s="18"/>
      <c r="D100" s="19"/>
      <c r="E100" s="19">
        <v>1</v>
      </c>
      <c r="F100" s="7">
        <f t="shared" si="18"/>
        <v>0</v>
      </c>
      <c r="G100" s="25">
        <f t="shared" si="24"/>
        <v>87.176499999999976</v>
      </c>
      <c r="H100" s="51">
        <v>6</v>
      </c>
      <c r="I100" s="52">
        <v>1.1000000000000001</v>
      </c>
      <c r="J100" s="21">
        <f t="shared" si="19"/>
        <v>6.6000000000000005</v>
      </c>
      <c r="K100" s="11">
        <f t="shared" si="25"/>
        <v>80.576499999999982</v>
      </c>
      <c r="L100" s="11">
        <f t="shared" si="20"/>
        <v>67.147083333333313</v>
      </c>
      <c r="M100" s="2">
        <f t="shared" si="27"/>
        <v>72</v>
      </c>
      <c r="N100" s="10">
        <f t="shared" si="21"/>
        <v>8.5764999999999816</v>
      </c>
      <c r="O100" s="49">
        <f t="shared" si="28"/>
        <v>8.1549999999999976</v>
      </c>
      <c r="P100" s="41">
        <f t="shared" si="26"/>
        <v>1.5549999999999971</v>
      </c>
      <c r="Q100" s="17"/>
      <c r="R100" s="17"/>
      <c r="S100" s="17"/>
      <c r="T100" s="17"/>
      <c r="U100" s="17"/>
      <c r="V100" s="17"/>
      <c r="W100" s="17"/>
      <c r="X100" s="17"/>
      <c r="Y100" s="17"/>
    </row>
    <row r="101" spans="1:25" x14ac:dyDescent="0.3">
      <c r="A101" s="5">
        <f t="shared" si="23"/>
        <v>46016</v>
      </c>
      <c r="B101" s="45" t="s">
        <v>58</v>
      </c>
      <c r="C101" s="18"/>
      <c r="D101" s="19"/>
      <c r="E101" s="19">
        <v>1</v>
      </c>
      <c r="F101" s="7">
        <f t="shared" si="18"/>
        <v>0</v>
      </c>
      <c r="G101" s="25">
        <f t="shared" si="24"/>
        <v>80.576499999999982</v>
      </c>
      <c r="H101" s="51">
        <v>5.7</v>
      </c>
      <c r="I101" s="52">
        <v>1.1000000000000001</v>
      </c>
      <c r="J101" s="21">
        <f t="shared" si="19"/>
        <v>6.2700000000000005</v>
      </c>
      <c r="K101" s="11">
        <f t="shared" si="25"/>
        <v>74.306499999999986</v>
      </c>
      <c r="L101" s="11">
        <f t="shared" si="20"/>
        <v>61.922083333333326</v>
      </c>
      <c r="M101" s="2">
        <f t="shared" si="27"/>
        <v>72</v>
      </c>
      <c r="N101" s="10">
        <f t="shared" si="21"/>
        <v>2.3064999999999856</v>
      </c>
      <c r="O101" s="49">
        <f t="shared" si="28"/>
        <v>1.5549999999999971</v>
      </c>
      <c r="P101" s="41">
        <f t="shared" si="26"/>
        <v>0</v>
      </c>
      <c r="Q101" s="17"/>
      <c r="R101" s="17"/>
      <c r="S101" s="17"/>
      <c r="T101" s="17"/>
      <c r="U101" s="17"/>
      <c r="V101" s="17"/>
      <c r="W101" s="17"/>
      <c r="X101" s="17"/>
      <c r="Y101" s="17"/>
    </row>
    <row r="102" spans="1:25" x14ac:dyDescent="0.3">
      <c r="A102" s="5">
        <f t="shared" si="23"/>
        <v>46017</v>
      </c>
      <c r="B102" s="45" t="s">
        <v>58</v>
      </c>
      <c r="C102" s="18"/>
      <c r="D102" s="19"/>
      <c r="E102" s="19">
        <v>1</v>
      </c>
      <c r="F102" s="7">
        <f t="shared" si="18"/>
        <v>0</v>
      </c>
      <c r="G102" s="25">
        <f t="shared" si="24"/>
        <v>74.306499999999986</v>
      </c>
      <c r="H102" s="51">
        <v>5.6</v>
      </c>
      <c r="I102" s="52">
        <v>1.1000000000000001</v>
      </c>
      <c r="J102" s="21">
        <f t="shared" si="19"/>
        <v>6.16</v>
      </c>
      <c r="K102" s="11">
        <f t="shared" si="25"/>
        <v>68.146499999999989</v>
      </c>
      <c r="L102" s="11">
        <f t="shared" si="20"/>
        <v>56.788749999999986</v>
      </c>
      <c r="M102" s="2">
        <f t="shared" si="27"/>
        <v>72</v>
      </c>
      <c r="N102" s="10">
        <f t="shared" si="21"/>
        <v>-3.853500000000011</v>
      </c>
      <c r="O102" s="49">
        <f t="shared" si="28"/>
        <v>0</v>
      </c>
      <c r="P102" s="41">
        <f t="shared" si="26"/>
        <v>0</v>
      </c>
      <c r="Q102" s="17"/>
      <c r="R102" s="17"/>
      <c r="S102" s="17"/>
      <c r="T102" s="17"/>
      <c r="U102" s="17"/>
      <c r="V102" s="17"/>
      <c r="W102" s="17"/>
      <c r="X102" s="17"/>
      <c r="Y102" s="17"/>
    </row>
    <row r="103" spans="1:25" x14ac:dyDescent="0.3">
      <c r="A103" s="5">
        <f t="shared" si="23"/>
        <v>46018</v>
      </c>
      <c r="B103" s="45" t="s">
        <v>58</v>
      </c>
      <c r="C103" s="18"/>
      <c r="D103" s="19"/>
      <c r="E103" s="19">
        <v>1</v>
      </c>
      <c r="F103" s="7">
        <f t="shared" si="18"/>
        <v>0</v>
      </c>
      <c r="G103" s="25">
        <f t="shared" si="24"/>
        <v>68.146499999999989</v>
      </c>
      <c r="H103" s="51">
        <v>6.95</v>
      </c>
      <c r="I103" s="52">
        <v>1.1000000000000001</v>
      </c>
      <c r="J103" s="21">
        <f t="shared" si="19"/>
        <v>7.6450000000000005</v>
      </c>
      <c r="K103" s="11">
        <f t="shared" si="25"/>
        <v>60.501499999999986</v>
      </c>
      <c r="L103" s="11">
        <f t="shared" si="20"/>
        <v>50.417916666666656</v>
      </c>
      <c r="M103" s="2">
        <f t="shared" si="27"/>
        <v>72</v>
      </c>
      <c r="N103" s="10">
        <f t="shared" si="21"/>
        <v>-11.498500000000014</v>
      </c>
      <c r="O103" s="49">
        <f t="shared" si="28"/>
        <v>0</v>
      </c>
      <c r="P103" s="41">
        <f t="shared" si="26"/>
        <v>0</v>
      </c>
      <c r="Q103" s="17"/>
      <c r="R103" s="17"/>
      <c r="S103" s="17"/>
      <c r="T103" s="17"/>
      <c r="U103" s="17"/>
      <c r="V103" s="17"/>
      <c r="W103" s="17"/>
      <c r="X103" s="17"/>
      <c r="Y103" s="17"/>
    </row>
    <row r="104" spans="1:25" x14ac:dyDescent="0.3">
      <c r="A104" s="5">
        <f t="shared" si="23"/>
        <v>46019</v>
      </c>
      <c r="B104" s="45" t="s">
        <v>58</v>
      </c>
      <c r="C104" s="18"/>
      <c r="D104" s="19"/>
      <c r="E104" s="19">
        <v>1</v>
      </c>
      <c r="F104" s="7">
        <f t="shared" si="18"/>
        <v>0</v>
      </c>
      <c r="G104" s="25">
        <f t="shared" si="24"/>
        <v>60.501499999999986</v>
      </c>
      <c r="H104" s="51">
        <v>7.05</v>
      </c>
      <c r="I104" s="52">
        <v>1.1000000000000001</v>
      </c>
      <c r="J104" s="21">
        <f t="shared" si="19"/>
        <v>7.7550000000000008</v>
      </c>
      <c r="K104" s="11">
        <f t="shared" si="25"/>
        <v>52.746499999999983</v>
      </c>
      <c r="L104" s="11">
        <f t="shared" si="20"/>
        <v>43.955416666666657</v>
      </c>
      <c r="M104" s="2">
        <f t="shared" si="27"/>
        <v>72</v>
      </c>
      <c r="N104" s="10">
        <f t="shared" si="21"/>
        <v>-19.253500000000017</v>
      </c>
      <c r="O104" s="49">
        <f t="shared" si="28"/>
        <v>0</v>
      </c>
      <c r="P104" s="41">
        <f t="shared" si="26"/>
        <v>0</v>
      </c>
      <c r="Q104" s="17"/>
      <c r="R104" s="17"/>
      <c r="S104" s="17"/>
      <c r="T104" s="17"/>
      <c r="U104" s="17"/>
      <c r="V104" s="17"/>
      <c r="W104" s="17"/>
      <c r="X104" s="17"/>
      <c r="Y104" s="17"/>
    </row>
    <row r="105" spans="1:25" x14ac:dyDescent="0.3">
      <c r="A105" s="5">
        <f t="shared" si="23"/>
        <v>46020</v>
      </c>
      <c r="B105" s="45" t="s">
        <v>58</v>
      </c>
      <c r="C105" s="18"/>
      <c r="D105" s="19"/>
      <c r="E105" s="19">
        <v>1</v>
      </c>
      <c r="F105" s="7">
        <f t="shared" si="18"/>
        <v>0</v>
      </c>
      <c r="G105" s="25">
        <f t="shared" si="24"/>
        <v>52.746499999999983</v>
      </c>
      <c r="H105" s="51">
        <v>6.9</v>
      </c>
      <c r="I105" s="52">
        <v>1.1000000000000001</v>
      </c>
      <c r="J105" s="21">
        <f t="shared" si="19"/>
        <v>7.5900000000000007</v>
      </c>
      <c r="K105" s="11">
        <f t="shared" si="25"/>
        <v>45.15649999999998</v>
      </c>
      <c r="L105" s="11">
        <f t="shared" si="20"/>
        <v>37.630416666666648</v>
      </c>
      <c r="M105" s="2">
        <f t="shared" si="27"/>
        <v>72</v>
      </c>
      <c r="N105" s="10">
        <f t="shared" si="21"/>
        <v>-26.84350000000002</v>
      </c>
      <c r="O105" s="49">
        <f t="shared" si="28"/>
        <v>0</v>
      </c>
      <c r="P105" s="41">
        <f t="shared" si="26"/>
        <v>0</v>
      </c>
      <c r="Q105" s="17"/>
      <c r="R105" s="17"/>
      <c r="S105" s="17"/>
      <c r="T105" s="17"/>
      <c r="U105" s="17"/>
      <c r="V105" s="17"/>
      <c r="W105" s="17"/>
      <c r="X105" s="17"/>
      <c r="Y105" s="17"/>
    </row>
    <row r="106" spans="1:25" x14ac:dyDescent="0.3">
      <c r="A106" s="5">
        <f t="shared" si="23"/>
        <v>46021</v>
      </c>
      <c r="B106" s="45" t="s">
        <v>58</v>
      </c>
      <c r="C106" s="18"/>
      <c r="D106" s="19"/>
      <c r="E106" s="19">
        <v>1</v>
      </c>
      <c r="F106" s="7">
        <f t="shared" si="18"/>
        <v>0</v>
      </c>
      <c r="G106" s="25">
        <f t="shared" si="24"/>
        <v>45.15649999999998</v>
      </c>
      <c r="H106" s="51">
        <v>3.9</v>
      </c>
      <c r="I106" s="52">
        <v>1.1000000000000001</v>
      </c>
      <c r="J106" s="21">
        <f t="shared" si="19"/>
        <v>4.29</v>
      </c>
      <c r="K106" s="11">
        <f t="shared" si="25"/>
        <v>40.866499999999981</v>
      </c>
      <c r="L106" s="11">
        <f t="shared" si="20"/>
        <v>34.055416666666652</v>
      </c>
      <c r="M106" s="2">
        <f t="shared" si="27"/>
        <v>72</v>
      </c>
      <c r="N106" s="10">
        <f t="shared" si="21"/>
        <v>-31.133500000000019</v>
      </c>
      <c r="O106" s="49">
        <f t="shared" si="28"/>
        <v>0</v>
      </c>
      <c r="P106" s="41">
        <f t="shared" si="26"/>
        <v>0</v>
      </c>
      <c r="Q106" s="17"/>
      <c r="R106" s="17"/>
      <c r="S106" s="17"/>
      <c r="T106" s="17"/>
      <c r="U106" s="17"/>
      <c r="V106" s="17"/>
      <c r="W106" s="17"/>
      <c r="X106" s="17"/>
      <c r="Y106" s="17"/>
    </row>
    <row r="107" spans="1:25" x14ac:dyDescent="0.3">
      <c r="A107" s="84">
        <f t="shared" si="23"/>
        <v>46022</v>
      </c>
      <c r="B107" s="45" t="s">
        <v>58</v>
      </c>
      <c r="C107" s="18">
        <v>20</v>
      </c>
      <c r="D107" s="19"/>
      <c r="E107" s="19">
        <v>1</v>
      </c>
      <c r="F107" s="7">
        <f t="shared" si="18"/>
        <v>0</v>
      </c>
      <c r="G107" s="25">
        <f t="shared" si="24"/>
        <v>40.866499999999981</v>
      </c>
      <c r="H107" s="51">
        <v>5.8</v>
      </c>
      <c r="I107" s="52">
        <v>1.1000000000000001</v>
      </c>
      <c r="J107" s="21">
        <f t="shared" si="19"/>
        <v>6.38</v>
      </c>
      <c r="K107" s="11">
        <f t="shared" si="25"/>
        <v>54.486499999999978</v>
      </c>
      <c r="L107" s="11">
        <f t="shared" si="20"/>
        <v>45.405416666666646</v>
      </c>
      <c r="M107" s="2">
        <f t="shared" si="27"/>
        <v>72</v>
      </c>
      <c r="N107" s="10">
        <f t="shared" si="21"/>
        <v>-17.513500000000022</v>
      </c>
      <c r="O107" s="49">
        <f t="shared" si="28"/>
        <v>0</v>
      </c>
      <c r="P107" s="41">
        <f t="shared" si="26"/>
        <v>0</v>
      </c>
      <c r="Q107" s="17"/>
      <c r="R107" s="17"/>
      <c r="S107" s="17"/>
      <c r="T107" s="17"/>
      <c r="U107" s="17"/>
      <c r="V107" s="17"/>
      <c r="W107" s="17"/>
      <c r="X107" s="17"/>
      <c r="Y107" s="17"/>
    </row>
    <row r="108" spans="1:25" x14ac:dyDescent="0.3">
      <c r="A108" s="5">
        <f t="shared" si="23"/>
        <v>46023</v>
      </c>
      <c r="B108" s="45" t="s">
        <v>58</v>
      </c>
      <c r="C108" s="18"/>
      <c r="D108" s="19"/>
      <c r="E108" s="19">
        <v>1</v>
      </c>
      <c r="F108" s="7">
        <f t="shared" si="18"/>
        <v>0</v>
      </c>
      <c r="G108" s="25">
        <f t="shared" si="24"/>
        <v>54.486499999999978</v>
      </c>
      <c r="H108" s="51">
        <v>6.6</v>
      </c>
      <c r="I108" s="52">
        <v>1</v>
      </c>
      <c r="J108" s="21">
        <f t="shared" si="19"/>
        <v>6.6</v>
      </c>
      <c r="K108" s="11">
        <f t="shared" si="25"/>
        <v>47.886499999999977</v>
      </c>
      <c r="L108" s="11">
        <f t="shared" si="20"/>
        <v>39.905416666666646</v>
      </c>
      <c r="M108" s="2">
        <f t="shared" si="27"/>
        <v>72</v>
      </c>
      <c r="N108" s="10">
        <f t="shared" si="21"/>
        <v>-24.113500000000023</v>
      </c>
      <c r="O108" s="49">
        <f t="shared" si="28"/>
        <v>0</v>
      </c>
      <c r="P108" s="41">
        <f t="shared" si="26"/>
        <v>0</v>
      </c>
      <c r="Q108" s="17"/>
      <c r="R108" s="17"/>
      <c r="S108" s="17"/>
      <c r="T108" s="17"/>
      <c r="U108" s="17"/>
      <c r="V108" s="17"/>
      <c r="W108" s="17"/>
      <c r="X108" s="17"/>
      <c r="Y108" s="17"/>
    </row>
    <row r="109" spans="1:25" x14ac:dyDescent="0.3">
      <c r="A109" s="5">
        <f t="shared" si="23"/>
        <v>46024</v>
      </c>
      <c r="B109" s="45" t="s">
        <v>58</v>
      </c>
      <c r="C109" s="18"/>
      <c r="D109" s="19"/>
      <c r="E109" s="19">
        <v>1</v>
      </c>
      <c r="F109" s="7">
        <f t="shared" si="18"/>
        <v>0</v>
      </c>
      <c r="G109" s="25">
        <f t="shared" si="24"/>
        <v>47.886499999999977</v>
      </c>
      <c r="H109" s="51">
        <v>6.8</v>
      </c>
      <c r="I109" s="52">
        <v>1</v>
      </c>
      <c r="J109" s="21">
        <f t="shared" si="19"/>
        <v>6.8</v>
      </c>
      <c r="K109" s="11">
        <f t="shared" si="25"/>
        <v>41.08649999999998</v>
      </c>
      <c r="L109" s="11">
        <f t="shared" si="20"/>
        <v>34.238749999999982</v>
      </c>
      <c r="M109" s="2">
        <f t="shared" si="27"/>
        <v>72</v>
      </c>
      <c r="N109" s="10">
        <f t="shared" si="21"/>
        <v>-30.91350000000002</v>
      </c>
      <c r="O109" s="49">
        <f t="shared" si="28"/>
        <v>0</v>
      </c>
      <c r="P109" s="41">
        <f t="shared" si="26"/>
        <v>0</v>
      </c>
      <c r="Q109" s="17"/>
      <c r="R109" s="17"/>
      <c r="S109" s="17"/>
      <c r="T109" s="17"/>
      <c r="U109" s="17"/>
      <c r="V109" s="17"/>
      <c r="W109" s="17"/>
      <c r="X109" s="17"/>
      <c r="Y109" s="17"/>
    </row>
    <row r="110" spans="1:25" x14ac:dyDescent="0.3">
      <c r="A110" s="5">
        <f t="shared" si="23"/>
        <v>46025</v>
      </c>
      <c r="B110" s="45" t="s">
        <v>58</v>
      </c>
      <c r="C110" s="18"/>
      <c r="D110" s="19"/>
      <c r="E110" s="19">
        <v>1</v>
      </c>
      <c r="F110" s="7">
        <f t="shared" si="18"/>
        <v>0</v>
      </c>
      <c r="G110" s="25">
        <f t="shared" si="24"/>
        <v>41.08649999999998</v>
      </c>
      <c r="H110" s="51">
        <v>7.2</v>
      </c>
      <c r="I110" s="52">
        <v>1</v>
      </c>
      <c r="J110" s="21">
        <f t="shared" si="19"/>
        <v>7.2</v>
      </c>
      <c r="K110" s="11">
        <f t="shared" si="25"/>
        <v>33.886499999999977</v>
      </c>
      <c r="L110" s="11">
        <f t="shared" si="20"/>
        <v>28.238749999999982</v>
      </c>
      <c r="M110" s="2">
        <f t="shared" si="27"/>
        <v>72</v>
      </c>
      <c r="N110" s="10">
        <f t="shared" si="21"/>
        <v>-38.113500000000023</v>
      </c>
      <c r="O110" s="49">
        <f t="shared" si="28"/>
        <v>0</v>
      </c>
      <c r="P110" s="41">
        <f t="shared" si="26"/>
        <v>0</v>
      </c>
      <c r="Q110" s="17"/>
      <c r="R110" s="17"/>
      <c r="S110" s="17"/>
      <c r="T110" s="17"/>
      <c r="U110" s="17"/>
      <c r="V110" s="17"/>
      <c r="W110" s="17"/>
      <c r="X110" s="17"/>
      <c r="Y110" s="17"/>
    </row>
    <row r="111" spans="1:25" x14ac:dyDescent="0.3">
      <c r="A111" s="5">
        <f t="shared" si="23"/>
        <v>46026</v>
      </c>
      <c r="B111" s="45" t="s">
        <v>58</v>
      </c>
      <c r="C111" s="18"/>
      <c r="D111" s="19"/>
      <c r="E111" s="19">
        <v>1</v>
      </c>
      <c r="F111" s="7">
        <f t="shared" si="18"/>
        <v>0</v>
      </c>
      <c r="G111" s="25">
        <f t="shared" si="24"/>
        <v>33.886499999999977</v>
      </c>
      <c r="H111" s="51">
        <v>7.05</v>
      </c>
      <c r="I111" s="52">
        <v>1</v>
      </c>
      <c r="J111" s="21">
        <f t="shared" si="19"/>
        <v>7.05</v>
      </c>
      <c r="K111" s="11">
        <f t="shared" si="25"/>
        <v>26.836499999999976</v>
      </c>
      <c r="L111" s="11">
        <f t="shared" si="20"/>
        <v>22.363749999999982</v>
      </c>
      <c r="M111" s="2">
        <f t="shared" si="27"/>
        <v>72</v>
      </c>
      <c r="N111" s="10">
        <f t="shared" si="21"/>
        <v>-45.163500000000028</v>
      </c>
      <c r="O111" s="49">
        <f t="shared" si="28"/>
        <v>0</v>
      </c>
      <c r="P111" s="41">
        <f t="shared" si="26"/>
        <v>0</v>
      </c>
      <c r="Q111" s="17"/>
      <c r="R111" s="17"/>
      <c r="S111" s="17"/>
      <c r="T111" s="17"/>
      <c r="U111" s="17"/>
      <c r="V111" s="17"/>
      <c r="W111" s="17"/>
      <c r="X111" s="17"/>
      <c r="Y111" s="17"/>
    </row>
    <row r="112" spans="1:25" x14ac:dyDescent="0.3">
      <c r="A112" s="5">
        <f t="shared" si="23"/>
        <v>46027</v>
      </c>
      <c r="B112" s="45" t="s">
        <v>58</v>
      </c>
      <c r="C112" s="18"/>
      <c r="D112" s="19"/>
      <c r="E112" s="19">
        <v>1</v>
      </c>
      <c r="F112" s="7">
        <f t="shared" si="18"/>
        <v>0</v>
      </c>
      <c r="G112" s="25">
        <f t="shared" si="24"/>
        <v>26.836499999999976</v>
      </c>
      <c r="H112" s="51">
        <v>7.1</v>
      </c>
      <c r="I112" s="52">
        <v>1</v>
      </c>
      <c r="J112" s="21">
        <f t="shared" si="19"/>
        <v>7.1</v>
      </c>
      <c r="K112" s="11">
        <f t="shared" si="25"/>
        <v>19.736499999999978</v>
      </c>
      <c r="L112" s="11">
        <f t="shared" si="20"/>
        <v>16.447083333333314</v>
      </c>
      <c r="M112" s="2">
        <f t="shared" si="27"/>
        <v>72</v>
      </c>
      <c r="N112" s="10">
        <f t="shared" si="21"/>
        <v>-52.263500000000022</v>
      </c>
      <c r="O112" s="49">
        <f t="shared" si="28"/>
        <v>0</v>
      </c>
      <c r="P112" s="41">
        <f t="shared" si="26"/>
        <v>0</v>
      </c>
      <c r="Q112" s="17"/>
      <c r="R112" s="17"/>
      <c r="S112" s="17"/>
      <c r="T112" s="17"/>
      <c r="U112" s="17"/>
      <c r="V112" s="17"/>
      <c r="W112" s="17"/>
      <c r="X112" s="17"/>
      <c r="Y112" s="17"/>
    </row>
    <row r="113" spans="1:25" x14ac:dyDescent="0.3">
      <c r="A113" s="84">
        <f t="shared" si="23"/>
        <v>46028</v>
      </c>
      <c r="B113" s="45" t="s">
        <v>58</v>
      </c>
      <c r="C113" s="18">
        <v>20</v>
      </c>
      <c r="D113" s="19"/>
      <c r="E113" s="19">
        <v>1</v>
      </c>
      <c r="F113" s="7">
        <f t="shared" si="18"/>
        <v>0</v>
      </c>
      <c r="G113" s="25">
        <f t="shared" si="24"/>
        <v>19.736499999999978</v>
      </c>
      <c r="H113" s="51">
        <v>7.86</v>
      </c>
      <c r="I113" s="52">
        <v>1</v>
      </c>
      <c r="J113" s="21">
        <f t="shared" si="19"/>
        <v>7.86</v>
      </c>
      <c r="K113" s="11">
        <f t="shared" si="25"/>
        <v>31.876499999999979</v>
      </c>
      <c r="L113" s="11">
        <f t="shared" si="20"/>
        <v>26.563749999999981</v>
      </c>
      <c r="M113" s="2">
        <f t="shared" si="27"/>
        <v>72</v>
      </c>
      <c r="N113" s="10">
        <f t="shared" si="21"/>
        <v>-40.123500000000021</v>
      </c>
      <c r="O113" s="49">
        <f t="shared" si="28"/>
        <v>0</v>
      </c>
      <c r="P113" s="41">
        <f t="shared" si="26"/>
        <v>0</v>
      </c>
      <c r="Q113" s="17"/>
      <c r="R113" s="17"/>
      <c r="S113" s="17"/>
      <c r="T113" s="17"/>
      <c r="U113" s="17"/>
      <c r="V113" s="17"/>
      <c r="W113" s="17"/>
      <c r="X113" s="17"/>
      <c r="Y113" s="17"/>
    </row>
    <row r="114" spans="1:25" x14ac:dyDescent="0.3">
      <c r="A114" s="5">
        <f t="shared" si="23"/>
        <v>46029</v>
      </c>
      <c r="B114" s="45" t="s">
        <v>58</v>
      </c>
      <c r="C114" s="18"/>
      <c r="D114" s="19"/>
      <c r="E114" s="19">
        <v>1</v>
      </c>
      <c r="F114" s="7">
        <f t="shared" si="18"/>
        <v>0</v>
      </c>
      <c r="G114" s="25">
        <f t="shared" si="24"/>
        <v>31.876499999999979</v>
      </c>
      <c r="H114" s="51">
        <v>0</v>
      </c>
      <c r="I114" s="52">
        <v>1</v>
      </c>
      <c r="J114" s="21">
        <f t="shared" si="19"/>
        <v>0</v>
      </c>
      <c r="K114" s="11">
        <f t="shared" si="25"/>
        <v>31.876499999999979</v>
      </c>
      <c r="L114" s="11">
        <f t="shared" si="20"/>
        <v>26.563749999999981</v>
      </c>
      <c r="M114" s="2">
        <f t="shared" si="27"/>
        <v>72</v>
      </c>
      <c r="N114" s="10">
        <f t="shared" si="21"/>
        <v>-40.123500000000021</v>
      </c>
      <c r="O114" s="49">
        <f t="shared" si="28"/>
        <v>0</v>
      </c>
      <c r="P114" s="41">
        <f t="shared" si="26"/>
        <v>0</v>
      </c>
      <c r="Q114" s="17"/>
      <c r="R114" s="17"/>
      <c r="S114" s="17"/>
      <c r="T114" s="17"/>
      <c r="U114" s="17"/>
      <c r="V114" s="17"/>
      <c r="W114" s="17"/>
      <c r="X114" s="17"/>
      <c r="Y114" s="17"/>
    </row>
    <row r="115" spans="1:25" x14ac:dyDescent="0.3">
      <c r="A115" s="84">
        <f t="shared" si="23"/>
        <v>46030</v>
      </c>
      <c r="B115" s="45" t="s">
        <v>58</v>
      </c>
      <c r="C115" s="18">
        <v>20</v>
      </c>
      <c r="D115" s="19"/>
      <c r="E115" s="19">
        <v>1</v>
      </c>
      <c r="F115" s="7">
        <f>D115*E115</f>
        <v>0</v>
      </c>
      <c r="G115" s="25">
        <f t="shared" si="24"/>
        <v>31.876499999999979</v>
      </c>
      <c r="H115" s="51">
        <v>0</v>
      </c>
      <c r="I115" s="52">
        <v>0.95</v>
      </c>
      <c r="J115" s="21">
        <f t="shared" si="19"/>
        <v>0</v>
      </c>
      <c r="K115" s="11">
        <f t="shared" si="25"/>
        <v>51.876499999999979</v>
      </c>
      <c r="L115" s="11">
        <f t="shared" si="20"/>
        <v>43.230416666666649</v>
      </c>
      <c r="M115" s="2">
        <f t="shared" si="27"/>
        <v>72</v>
      </c>
      <c r="N115" s="10">
        <f t="shared" si="21"/>
        <v>-20.123500000000021</v>
      </c>
      <c r="O115" s="49">
        <f t="shared" si="28"/>
        <v>0</v>
      </c>
      <c r="P115" s="41">
        <f t="shared" si="26"/>
        <v>0</v>
      </c>
      <c r="Q115" s="17"/>
      <c r="R115" s="17"/>
      <c r="S115" s="17"/>
      <c r="T115" s="17"/>
      <c r="U115" s="17"/>
      <c r="V115" s="17"/>
      <c r="W115" s="17"/>
      <c r="X115" s="17"/>
      <c r="Y115" s="17"/>
    </row>
    <row r="116" spans="1:25" x14ac:dyDescent="0.3">
      <c r="A116" s="5">
        <f t="shared" si="23"/>
        <v>46031</v>
      </c>
      <c r="B116" s="45" t="s">
        <v>58</v>
      </c>
      <c r="C116" s="18"/>
      <c r="D116" s="19"/>
      <c r="E116" s="19">
        <v>1</v>
      </c>
      <c r="F116" s="7">
        <f t="shared" si="18"/>
        <v>0</v>
      </c>
      <c r="G116" s="25">
        <f t="shared" si="24"/>
        <v>51.876499999999979</v>
      </c>
      <c r="H116" s="51">
        <v>1</v>
      </c>
      <c r="I116" s="52">
        <v>0.95</v>
      </c>
      <c r="J116" s="21">
        <f t="shared" si="19"/>
        <v>0.95</v>
      </c>
      <c r="K116" s="11">
        <f t="shared" si="25"/>
        <v>50.926499999999976</v>
      </c>
      <c r="L116" s="11">
        <f t="shared" si="20"/>
        <v>42.438749999999985</v>
      </c>
      <c r="M116" s="2">
        <f t="shared" si="27"/>
        <v>72</v>
      </c>
      <c r="N116" s="10">
        <f t="shared" si="21"/>
        <v>-21.073500000000024</v>
      </c>
      <c r="O116" s="49">
        <f t="shared" si="28"/>
        <v>0</v>
      </c>
      <c r="P116" s="41">
        <f t="shared" si="26"/>
        <v>0</v>
      </c>
      <c r="Q116" s="17"/>
      <c r="R116" s="17"/>
      <c r="S116" s="17"/>
      <c r="T116" s="17"/>
      <c r="U116" s="17"/>
      <c r="V116" s="17"/>
      <c r="W116" s="17"/>
      <c r="X116" s="17"/>
      <c r="Y116" s="17"/>
    </row>
    <row r="117" spans="1:25" x14ac:dyDescent="0.3">
      <c r="A117" s="5">
        <f t="shared" si="23"/>
        <v>46032</v>
      </c>
      <c r="B117" s="45" t="s">
        <v>58</v>
      </c>
      <c r="C117" s="18"/>
      <c r="D117" s="19"/>
      <c r="E117" s="19">
        <v>1</v>
      </c>
      <c r="F117" s="7">
        <f t="shared" si="18"/>
        <v>0</v>
      </c>
      <c r="G117" s="25">
        <f t="shared" si="24"/>
        <v>50.926499999999976</v>
      </c>
      <c r="H117" s="51">
        <v>2.2999999999999998</v>
      </c>
      <c r="I117" s="52">
        <v>0.95</v>
      </c>
      <c r="J117" s="21">
        <f t="shared" si="19"/>
        <v>2.1849999999999996</v>
      </c>
      <c r="K117" s="11">
        <f t="shared" si="25"/>
        <v>48.741499999999974</v>
      </c>
      <c r="L117" s="11">
        <f t="shared" si="20"/>
        <v>40.617916666666652</v>
      </c>
      <c r="M117" s="2">
        <f t="shared" si="27"/>
        <v>72</v>
      </c>
      <c r="N117" s="10">
        <f t="shared" si="21"/>
        <v>-23.258500000000026</v>
      </c>
      <c r="O117" s="49">
        <f t="shared" si="28"/>
        <v>0</v>
      </c>
      <c r="P117" s="41">
        <f t="shared" si="26"/>
        <v>0</v>
      </c>
      <c r="Q117" s="17"/>
      <c r="R117" s="17"/>
      <c r="S117" s="17"/>
      <c r="T117" s="17"/>
      <c r="U117" s="17"/>
      <c r="V117" s="17"/>
      <c r="W117" s="17"/>
      <c r="X117" s="17"/>
      <c r="Y117" s="17"/>
    </row>
    <row r="118" spans="1:25" x14ac:dyDescent="0.3">
      <c r="A118" s="5">
        <f t="shared" si="23"/>
        <v>46033</v>
      </c>
      <c r="B118" s="45" t="s">
        <v>58</v>
      </c>
      <c r="C118" s="18"/>
      <c r="D118" s="19"/>
      <c r="E118" s="19">
        <v>1</v>
      </c>
      <c r="F118" s="7">
        <f>D118*E118</f>
        <v>0</v>
      </c>
      <c r="G118" s="25">
        <f t="shared" si="24"/>
        <v>48.741499999999974</v>
      </c>
      <c r="H118" s="51">
        <v>6.4</v>
      </c>
      <c r="I118" s="52">
        <v>0.95</v>
      </c>
      <c r="J118" s="21">
        <f t="shared" si="19"/>
        <v>6.08</v>
      </c>
      <c r="K118" s="11">
        <f t="shared" si="25"/>
        <v>42.661499999999975</v>
      </c>
      <c r="L118" s="11">
        <f t="shared" si="20"/>
        <v>35.551249999999982</v>
      </c>
      <c r="M118" s="2">
        <f t="shared" si="27"/>
        <v>72</v>
      </c>
      <c r="N118" s="10">
        <f t="shared" si="21"/>
        <v>-29.338500000000025</v>
      </c>
      <c r="O118" s="49">
        <f t="shared" si="28"/>
        <v>0</v>
      </c>
      <c r="P118" s="41">
        <f t="shared" si="26"/>
        <v>0</v>
      </c>
      <c r="Q118" s="17"/>
      <c r="R118" s="17"/>
      <c r="S118" s="17"/>
      <c r="T118" s="17"/>
      <c r="U118" s="17"/>
      <c r="V118" s="17"/>
      <c r="W118" s="17"/>
      <c r="X118" s="17"/>
      <c r="Y118" s="17"/>
    </row>
    <row r="119" spans="1:25" x14ac:dyDescent="0.3">
      <c r="A119" s="5">
        <f t="shared" si="23"/>
        <v>46034</v>
      </c>
      <c r="B119" s="45" t="s">
        <v>58</v>
      </c>
      <c r="C119" s="55"/>
      <c r="D119" s="19"/>
      <c r="E119" s="19">
        <v>1</v>
      </c>
      <c r="F119" s="7">
        <f>D119*E119</f>
        <v>0</v>
      </c>
      <c r="G119" s="25">
        <f t="shared" si="24"/>
        <v>42.661499999999975</v>
      </c>
      <c r="H119" s="51">
        <v>6.8</v>
      </c>
      <c r="I119" s="52">
        <v>0.95</v>
      </c>
      <c r="J119" s="21">
        <f>H119*I119</f>
        <v>6.46</v>
      </c>
      <c r="K119" s="11">
        <f t="shared" si="25"/>
        <v>36.201499999999974</v>
      </c>
      <c r="L119" s="11">
        <f t="shared" si="20"/>
        <v>30.167916666666645</v>
      </c>
      <c r="M119" s="2">
        <f t="shared" si="27"/>
        <v>72</v>
      </c>
      <c r="N119" s="10">
        <f t="shared" si="21"/>
        <v>-35.798500000000026</v>
      </c>
      <c r="O119" s="49">
        <f t="shared" si="28"/>
        <v>0</v>
      </c>
      <c r="P119" s="41">
        <f t="shared" si="26"/>
        <v>0</v>
      </c>
      <c r="Q119" s="17"/>
      <c r="R119" s="17"/>
      <c r="S119" s="17"/>
      <c r="T119" s="17"/>
      <c r="U119" s="17"/>
      <c r="V119" s="17"/>
      <c r="W119" s="17"/>
      <c r="X119" s="17"/>
      <c r="Y119" s="17"/>
    </row>
    <row r="120" spans="1:25" x14ac:dyDescent="0.3">
      <c r="A120" s="5">
        <f t="shared" si="23"/>
        <v>46035</v>
      </c>
      <c r="B120" s="45" t="s">
        <v>58</v>
      </c>
      <c r="C120" s="55"/>
      <c r="D120" s="19"/>
      <c r="E120" s="19">
        <v>1</v>
      </c>
      <c r="F120" s="7">
        <f t="shared" si="18"/>
        <v>0</v>
      </c>
      <c r="G120" s="25">
        <f>K119</f>
        <v>36.201499999999974</v>
      </c>
      <c r="H120" s="51">
        <v>6</v>
      </c>
      <c r="I120" s="52">
        <v>0.95</v>
      </c>
      <c r="J120" s="21">
        <f>H120*I120</f>
        <v>5.6999999999999993</v>
      </c>
      <c r="K120" s="11">
        <f>IF(C120+F120+G120-J120&gt;$U$2,$U$2,(IF(C120+F120+G120-J120&lt;0,0,C120+F120+G120-J120)))</f>
        <v>30.501499999999975</v>
      </c>
      <c r="L120" s="11">
        <f t="shared" si="20"/>
        <v>25.417916666666645</v>
      </c>
      <c r="M120" s="2">
        <f t="shared" si="27"/>
        <v>72</v>
      </c>
      <c r="N120" s="10">
        <f>K120-M120</f>
        <v>-41.498500000000021</v>
      </c>
      <c r="O120" s="49">
        <f t="shared" si="28"/>
        <v>0</v>
      </c>
      <c r="P120" s="41">
        <f t="shared" si="26"/>
        <v>0</v>
      </c>
      <c r="Q120" s="17"/>
      <c r="R120" s="17"/>
      <c r="S120" s="17"/>
      <c r="T120" s="17"/>
      <c r="U120" s="17"/>
      <c r="V120" s="17"/>
      <c r="W120" s="17"/>
      <c r="X120" s="17"/>
      <c r="Y120" s="17"/>
    </row>
    <row r="121" spans="1:25" x14ac:dyDescent="0.3">
      <c r="A121" s="5">
        <f t="shared" si="23"/>
        <v>46036</v>
      </c>
      <c r="B121" s="45" t="s">
        <v>58</v>
      </c>
      <c r="C121" s="55"/>
      <c r="D121" s="19"/>
      <c r="E121" s="19">
        <v>1</v>
      </c>
      <c r="F121" s="7">
        <f t="shared" si="18"/>
        <v>0</v>
      </c>
      <c r="G121" s="25">
        <f t="shared" si="24"/>
        <v>30.501499999999975</v>
      </c>
      <c r="H121" s="51">
        <v>6</v>
      </c>
      <c r="I121" s="52">
        <v>0.95</v>
      </c>
      <c r="J121" s="21">
        <f t="shared" si="19"/>
        <v>5.6999999999999993</v>
      </c>
      <c r="K121" s="11">
        <f t="shared" si="25"/>
        <v>24.801499999999976</v>
      </c>
      <c r="L121" s="11">
        <f t="shared" si="20"/>
        <v>20.667916666666649</v>
      </c>
      <c r="M121" s="2">
        <f t="shared" si="27"/>
        <v>72</v>
      </c>
      <c r="N121" s="10">
        <f t="shared" si="21"/>
        <v>-47.198500000000024</v>
      </c>
      <c r="O121" s="49">
        <f t="shared" si="28"/>
        <v>0</v>
      </c>
      <c r="P121" s="41">
        <f t="shared" si="26"/>
        <v>0</v>
      </c>
      <c r="Q121" s="17"/>
      <c r="R121" s="17"/>
      <c r="S121" s="17"/>
      <c r="T121" s="17"/>
      <c r="U121" s="17"/>
      <c r="V121" s="17"/>
      <c r="W121" s="17"/>
      <c r="X121" s="17"/>
      <c r="Y121" s="17"/>
    </row>
    <row r="122" spans="1:25" x14ac:dyDescent="0.3">
      <c r="A122" s="5">
        <f t="shared" si="23"/>
        <v>46037</v>
      </c>
      <c r="B122" s="45" t="s">
        <v>58</v>
      </c>
      <c r="C122" s="55"/>
      <c r="D122" s="19">
        <v>12</v>
      </c>
      <c r="E122" s="19">
        <v>1</v>
      </c>
      <c r="F122" s="7">
        <f t="shared" si="18"/>
        <v>12</v>
      </c>
      <c r="G122" s="25">
        <f t="shared" si="24"/>
        <v>24.801499999999976</v>
      </c>
      <c r="H122" s="51">
        <v>2.1</v>
      </c>
      <c r="I122" s="52">
        <v>0.95</v>
      </c>
      <c r="J122" s="21">
        <f t="shared" si="19"/>
        <v>1.9949999999999999</v>
      </c>
      <c r="K122" s="11">
        <f t="shared" si="25"/>
        <v>34.806499999999978</v>
      </c>
      <c r="L122" s="11">
        <f t="shared" si="20"/>
        <v>29.005416666666648</v>
      </c>
      <c r="M122" s="2">
        <f t="shared" si="27"/>
        <v>72</v>
      </c>
      <c r="N122" s="10">
        <f t="shared" si="21"/>
        <v>-37.193500000000022</v>
      </c>
      <c r="O122" s="49">
        <f t="shared" si="28"/>
        <v>0</v>
      </c>
      <c r="P122" s="41">
        <f t="shared" si="26"/>
        <v>10.005000000000001</v>
      </c>
      <c r="Q122" s="43"/>
      <c r="R122" s="17"/>
      <c r="S122" s="17"/>
      <c r="T122" s="17"/>
      <c r="U122" s="17"/>
      <c r="V122" s="17"/>
      <c r="W122" s="17"/>
      <c r="X122" s="17"/>
      <c r="Y122" s="17"/>
    </row>
    <row r="123" spans="1:25" x14ac:dyDescent="0.3">
      <c r="A123" s="5">
        <f t="shared" si="23"/>
        <v>46038</v>
      </c>
      <c r="B123" s="45" t="s">
        <v>58</v>
      </c>
      <c r="C123" s="18"/>
      <c r="D123" s="19"/>
      <c r="E123" s="19">
        <v>1</v>
      </c>
      <c r="F123" s="7">
        <f t="shared" si="18"/>
        <v>0</v>
      </c>
      <c r="G123" s="25">
        <f t="shared" si="24"/>
        <v>34.806499999999978</v>
      </c>
      <c r="H123" s="51">
        <v>6.36</v>
      </c>
      <c r="I123" s="52">
        <v>0.95</v>
      </c>
      <c r="J123" s="21">
        <f t="shared" si="19"/>
        <v>6.0419999999999998</v>
      </c>
      <c r="K123" s="11">
        <f t="shared" si="25"/>
        <v>28.764499999999977</v>
      </c>
      <c r="L123" s="11">
        <f t="shared" si="20"/>
        <v>23.970416666666647</v>
      </c>
      <c r="M123" s="2">
        <f t="shared" si="27"/>
        <v>72</v>
      </c>
      <c r="N123" s="10">
        <f t="shared" si="21"/>
        <v>-43.235500000000023</v>
      </c>
      <c r="O123" s="49">
        <f t="shared" si="28"/>
        <v>10.005000000000001</v>
      </c>
      <c r="P123" s="41">
        <f t="shared" si="26"/>
        <v>3.963000000000001</v>
      </c>
      <c r="Q123" s="43"/>
      <c r="R123" s="17"/>
      <c r="S123" s="17"/>
      <c r="T123" s="17"/>
      <c r="U123" s="17"/>
      <c r="V123" s="17"/>
      <c r="W123" s="17"/>
      <c r="X123" s="17"/>
      <c r="Y123" s="17"/>
    </row>
    <row r="124" spans="1:25" x14ac:dyDescent="0.3">
      <c r="A124" s="5">
        <f t="shared" si="23"/>
        <v>46039</v>
      </c>
      <c r="B124" s="45" t="s">
        <v>58</v>
      </c>
      <c r="C124" s="55"/>
      <c r="D124" s="19"/>
      <c r="E124" s="19">
        <v>1</v>
      </c>
      <c r="F124" s="7">
        <f t="shared" si="18"/>
        <v>0</v>
      </c>
      <c r="G124" s="25">
        <f t="shared" si="24"/>
        <v>28.764499999999977</v>
      </c>
      <c r="H124" s="51">
        <v>6.07</v>
      </c>
      <c r="I124" s="52">
        <v>0.95</v>
      </c>
      <c r="J124" s="21">
        <f t="shared" si="19"/>
        <v>5.7664999999999997</v>
      </c>
      <c r="K124" s="11">
        <f t="shared" si="25"/>
        <v>22.997999999999976</v>
      </c>
      <c r="L124" s="11">
        <f t="shared" si="20"/>
        <v>19.164999999999978</v>
      </c>
      <c r="M124" s="2">
        <f t="shared" si="27"/>
        <v>72</v>
      </c>
      <c r="N124" s="10">
        <f t="shared" si="21"/>
        <v>-49.002000000000024</v>
      </c>
      <c r="O124" s="49">
        <f t="shared" si="28"/>
        <v>3.963000000000001</v>
      </c>
      <c r="P124" s="41">
        <f t="shared" si="26"/>
        <v>0</v>
      </c>
      <c r="Q124" s="43"/>
      <c r="R124" s="17"/>
      <c r="S124" s="17"/>
      <c r="T124" s="17"/>
      <c r="U124" s="17"/>
      <c r="V124" s="17"/>
      <c r="W124" s="17"/>
      <c r="X124" s="17"/>
      <c r="Y124" s="17"/>
    </row>
    <row r="125" spans="1:25" x14ac:dyDescent="0.3">
      <c r="A125" s="5">
        <f t="shared" si="23"/>
        <v>46040</v>
      </c>
      <c r="B125" s="45" t="s">
        <v>58</v>
      </c>
      <c r="C125" s="53"/>
      <c r="D125" s="19"/>
      <c r="E125" s="19">
        <v>1</v>
      </c>
      <c r="F125" s="7">
        <f t="shared" si="18"/>
        <v>0</v>
      </c>
      <c r="G125" s="25">
        <f t="shared" si="24"/>
        <v>22.997999999999976</v>
      </c>
      <c r="H125" s="51">
        <v>7.6</v>
      </c>
      <c r="I125" s="52">
        <v>0.87</v>
      </c>
      <c r="J125" s="21">
        <f t="shared" si="19"/>
        <v>6.6120000000000001</v>
      </c>
      <c r="K125" s="11">
        <f t="shared" si="25"/>
        <v>16.385999999999974</v>
      </c>
      <c r="L125" s="11">
        <f t="shared" si="20"/>
        <v>13.654999999999978</v>
      </c>
      <c r="M125" s="2">
        <f t="shared" si="27"/>
        <v>72</v>
      </c>
      <c r="N125" s="10">
        <f t="shared" si="21"/>
        <v>-55.614000000000026</v>
      </c>
      <c r="O125" s="49">
        <f t="shared" si="28"/>
        <v>0</v>
      </c>
      <c r="P125" s="41">
        <f t="shared" si="26"/>
        <v>0</v>
      </c>
      <c r="Q125" s="17"/>
      <c r="R125" s="17"/>
      <c r="S125" s="17"/>
      <c r="T125" s="17"/>
      <c r="U125" s="17"/>
      <c r="V125" s="17"/>
      <c r="W125" s="17"/>
      <c r="X125" s="17"/>
      <c r="Y125" s="17"/>
    </row>
    <row r="126" spans="1:25" x14ac:dyDescent="0.3">
      <c r="A126" s="5">
        <f t="shared" si="23"/>
        <v>46041</v>
      </c>
      <c r="B126" s="45" t="s">
        <v>58</v>
      </c>
      <c r="C126" s="18"/>
      <c r="D126" s="19"/>
      <c r="E126" s="19">
        <v>1</v>
      </c>
      <c r="F126" s="7">
        <f t="shared" si="18"/>
        <v>0</v>
      </c>
      <c r="G126" s="25">
        <f t="shared" si="24"/>
        <v>16.385999999999974</v>
      </c>
      <c r="H126" s="51">
        <v>7.32</v>
      </c>
      <c r="I126" s="52">
        <v>0.87</v>
      </c>
      <c r="J126" s="21">
        <f t="shared" si="19"/>
        <v>6.3684000000000003</v>
      </c>
      <c r="K126" s="11">
        <f t="shared" si="25"/>
        <v>10.017599999999973</v>
      </c>
      <c r="L126" s="11">
        <f t="shared" si="20"/>
        <v>8.3479999999999777</v>
      </c>
      <c r="M126" s="2">
        <f t="shared" si="27"/>
        <v>72</v>
      </c>
      <c r="N126" s="10">
        <f t="shared" si="21"/>
        <v>-61.982400000000027</v>
      </c>
      <c r="O126" s="49">
        <f t="shared" si="28"/>
        <v>0</v>
      </c>
      <c r="P126" s="41">
        <f t="shared" si="26"/>
        <v>0</v>
      </c>
      <c r="Q126" s="17"/>
      <c r="R126" s="17"/>
      <c r="S126" s="17"/>
      <c r="T126" s="17"/>
      <c r="U126" s="17"/>
      <c r="V126" s="17"/>
      <c r="W126" s="17"/>
      <c r="X126" s="17"/>
      <c r="Y126" s="17"/>
    </row>
    <row r="127" spans="1:25" x14ac:dyDescent="0.3">
      <c r="A127" s="5">
        <f t="shared" si="23"/>
        <v>46042</v>
      </c>
      <c r="B127" s="45" t="s">
        <v>58</v>
      </c>
      <c r="C127" s="18">
        <v>20</v>
      </c>
      <c r="D127" s="19"/>
      <c r="E127" s="19">
        <v>1</v>
      </c>
      <c r="F127" s="7">
        <f t="shared" si="18"/>
        <v>0</v>
      </c>
      <c r="G127" s="25">
        <f t="shared" si="24"/>
        <v>10.017599999999973</v>
      </c>
      <c r="H127" s="51">
        <v>6</v>
      </c>
      <c r="I127" s="52">
        <v>0.87</v>
      </c>
      <c r="J127" s="21">
        <f t="shared" si="19"/>
        <v>5.22</v>
      </c>
      <c r="K127" s="11">
        <f t="shared" si="25"/>
        <v>24.797599999999974</v>
      </c>
      <c r="L127" s="11">
        <f t="shared" si="20"/>
        <v>20.664666666666644</v>
      </c>
      <c r="M127" s="2">
        <f t="shared" si="27"/>
        <v>72</v>
      </c>
      <c r="N127" s="10">
        <f t="shared" si="21"/>
        <v>-47.202400000000026</v>
      </c>
      <c r="O127" s="49">
        <f t="shared" si="28"/>
        <v>0</v>
      </c>
      <c r="P127" s="41">
        <f t="shared" si="26"/>
        <v>0</v>
      </c>
      <c r="T127" s="17"/>
      <c r="U127" s="17"/>
      <c r="V127" s="17"/>
      <c r="W127" s="17"/>
      <c r="X127" s="17"/>
      <c r="Y127" s="17"/>
    </row>
    <row r="128" spans="1:25" x14ac:dyDescent="0.3">
      <c r="A128" s="5">
        <f t="shared" si="23"/>
        <v>46043</v>
      </c>
      <c r="B128" s="45" t="s">
        <v>58</v>
      </c>
      <c r="C128" s="18"/>
      <c r="D128" s="19"/>
      <c r="E128" s="19">
        <v>1</v>
      </c>
      <c r="F128" s="7">
        <f t="shared" si="18"/>
        <v>0</v>
      </c>
      <c r="G128" s="25">
        <f t="shared" si="24"/>
        <v>24.797599999999974</v>
      </c>
      <c r="H128" s="51">
        <v>6.3</v>
      </c>
      <c r="I128" s="52">
        <v>0.87</v>
      </c>
      <c r="J128" s="21">
        <f t="shared" si="19"/>
        <v>5.4809999999999999</v>
      </c>
      <c r="K128" s="11">
        <f t="shared" ref="K128:K153" si="29">IF(C128+F128+G128-J128&gt;$U$2,$U$2,(IF(C128+F128+G128-J128&lt;0,0,C128+F128+G128-J128)))</f>
        <v>19.316599999999973</v>
      </c>
      <c r="L128" s="11">
        <f t="shared" ref="L128:L153" si="30">K128*100/$U$2</f>
        <v>16.097166666666645</v>
      </c>
      <c r="M128" s="2">
        <f t="shared" ref="M128:M137" si="31">+$U$2*0.5</f>
        <v>60</v>
      </c>
      <c r="N128" s="10">
        <f t="shared" si="21"/>
        <v>-40.683400000000027</v>
      </c>
      <c r="O128" s="49">
        <f t="shared" si="28"/>
        <v>0</v>
      </c>
      <c r="P128" s="41">
        <f t="shared" si="26"/>
        <v>0</v>
      </c>
      <c r="Q128" s="17"/>
      <c r="R128" s="17"/>
      <c r="S128" s="17"/>
      <c r="T128" s="17"/>
      <c r="U128" s="17"/>
      <c r="V128" s="17"/>
      <c r="W128" s="17"/>
      <c r="X128" s="17"/>
      <c r="Y128" s="17"/>
    </row>
    <row r="129" spans="1:25" x14ac:dyDescent="0.3">
      <c r="A129" s="5">
        <f t="shared" si="23"/>
        <v>46044</v>
      </c>
      <c r="B129" s="45" t="s">
        <v>58</v>
      </c>
      <c r="C129" s="18"/>
      <c r="D129" s="19"/>
      <c r="E129" s="19">
        <v>1</v>
      </c>
      <c r="F129" s="7">
        <f t="shared" si="18"/>
        <v>0</v>
      </c>
      <c r="G129" s="25">
        <f t="shared" si="24"/>
        <v>19.316599999999973</v>
      </c>
      <c r="H129" s="51">
        <v>6.6</v>
      </c>
      <c r="I129" s="52">
        <v>0.87</v>
      </c>
      <c r="J129" s="21">
        <f t="shared" si="19"/>
        <v>5.742</v>
      </c>
      <c r="K129" s="11">
        <f>IF(C129+F129+G129-J129&gt;$U$2,$U$2,(IF(C129+F129+G129-J129&lt;0,0,C129+F129+G129-J129)))</f>
        <v>13.574599999999972</v>
      </c>
      <c r="L129" s="11">
        <f t="shared" si="30"/>
        <v>11.312166666666643</v>
      </c>
      <c r="M129" s="2">
        <f t="shared" si="31"/>
        <v>60</v>
      </c>
      <c r="N129" s="10">
        <f t="shared" si="21"/>
        <v>-46.425400000000025</v>
      </c>
      <c r="O129" s="49">
        <f t="shared" si="28"/>
        <v>0</v>
      </c>
      <c r="P129" s="41">
        <f t="shared" si="26"/>
        <v>0</v>
      </c>
      <c r="Q129" s="17"/>
      <c r="R129" s="17"/>
      <c r="S129" s="17"/>
      <c r="T129" s="17"/>
      <c r="U129" s="17"/>
      <c r="V129" s="17"/>
      <c r="W129" s="17"/>
      <c r="X129" s="17"/>
      <c r="Y129" s="17"/>
    </row>
    <row r="130" spans="1:25" x14ac:dyDescent="0.3">
      <c r="A130" s="5">
        <f t="shared" si="23"/>
        <v>46045</v>
      </c>
      <c r="B130" s="45" t="s">
        <v>58</v>
      </c>
      <c r="C130" s="18"/>
      <c r="D130" s="19"/>
      <c r="E130" s="19">
        <v>1</v>
      </c>
      <c r="F130" s="7">
        <f t="shared" si="18"/>
        <v>0</v>
      </c>
      <c r="G130" s="25">
        <f t="shared" si="24"/>
        <v>13.574599999999972</v>
      </c>
      <c r="H130" s="51">
        <v>6.65</v>
      </c>
      <c r="I130" s="52">
        <v>0.87</v>
      </c>
      <c r="J130" s="21">
        <f t="shared" si="19"/>
        <v>5.7854999999999999</v>
      </c>
      <c r="K130" s="11">
        <f>IF(C130+F130+G130-J130&gt;$U$2,$U$2,(IF(C130+F130+G130-J130&lt;0,0,C130+F130+G130-J130)))</f>
        <v>7.7890999999999719</v>
      </c>
      <c r="L130" s="11">
        <f t="shared" si="30"/>
        <v>6.490916666666644</v>
      </c>
      <c r="M130" s="2">
        <f t="shared" si="31"/>
        <v>60</v>
      </c>
      <c r="N130" s="10">
        <f t="shared" si="21"/>
        <v>-52.210900000000031</v>
      </c>
      <c r="O130" s="49">
        <f t="shared" si="28"/>
        <v>0</v>
      </c>
      <c r="P130" s="41">
        <f t="shared" si="26"/>
        <v>0</v>
      </c>
      <c r="Q130" s="17"/>
      <c r="R130" s="17"/>
      <c r="S130" s="17"/>
      <c r="T130" s="17"/>
      <c r="U130" s="17"/>
      <c r="V130" s="17"/>
      <c r="W130" s="17"/>
      <c r="X130" s="17"/>
      <c r="Y130" s="17"/>
    </row>
    <row r="131" spans="1:25" x14ac:dyDescent="0.3">
      <c r="A131" s="5">
        <f t="shared" si="23"/>
        <v>46046</v>
      </c>
      <c r="B131" s="45" t="s">
        <v>58</v>
      </c>
      <c r="C131" s="18"/>
      <c r="D131" s="19"/>
      <c r="E131" s="19">
        <v>1</v>
      </c>
      <c r="F131" s="7">
        <f t="shared" ref="F131:F153" si="32">D131*E131</f>
        <v>0</v>
      </c>
      <c r="G131" s="25">
        <f t="shared" si="24"/>
        <v>7.7890999999999719</v>
      </c>
      <c r="H131" s="51">
        <v>6.3</v>
      </c>
      <c r="I131" s="52">
        <v>0.87</v>
      </c>
      <c r="J131" s="21">
        <f t="shared" ref="J131:J153" si="33">H131*I131</f>
        <v>5.4809999999999999</v>
      </c>
      <c r="K131" s="11">
        <f>IF(C131+F131+G131-J131&gt;$U$2,$U$2,(IF(C131+F131+G131-J131&lt;0,0,C131+F131+G131-J131)))</f>
        <v>2.3080999999999721</v>
      </c>
      <c r="L131" s="11">
        <f t="shared" si="30"/>
        <v>1.9234166666666435</v>
      </c>
      <c r="M131" s="2">
        <f t="shared" si="31"/>
        <v>60</v>
      </c>
      <c r="N131" s="10">
        <f t="shared" ref="N131:N153" si="34">K131-M131</f>
        <v>-57.691900000000025</v>
      </c>
      <c r="O131" s="49">
        <f t="shared" ref="O131:O152" si="35">P130</f>
        <v>0</v>
      </c>
      <c r="P131" s="41">
        <f t="shared" si="26"/>
        <v>0</v>
      </c>
      <c r="Q131" s="17"/>
      <c r="R131" s="17"/>
      <c r="S131" s="17"/>
      <c r="T131" s="17"/>
      <c r="U131" s="17"/>
      <c r="V131" s="17"/>
      <c r="W131" s="17"/>
      <c r="X131" s="17"/>
      <c r="Y131" s="17"/>
    </row>
    <row r="132" spans="1:25" x14ac:dyDescent="0.3">
      <c r="A132" s="5">
        <f t="shared" ref="A132:A153" si="36">A131+1</f>
        <v>46047</v>
      </c>
      <c r="B132" s="45" t="s">
        <v>58</v>
      </c>
      <c r="C132" s="18"/>
      <c r="D132" s="19"/>
      <c r="E132" s="19">
        <v>1</v>
      </c>
      <c r="F132" s="7">
        <f t="shared" si="32"/>
        <v>0</v>
      </c>
      <c r="G132" s="25">
        <f t="shared" ref="G132:G152" si="37">K131</f>
        <v>2.3080999999999721</v>
      </c>
      <c r="H132" s="51">
        <v>5.8</v>
      </c>
      <c r="I132" s="30">
        <v>0.77</v>
      </c>
      <c r="J132" s="21">
        <f>H132*I132</f>
        <v>4.4660000000000002</v>
      </c>
      <c r="K132" s="11">
        <f>IF(C132+F132+G132-J132&gt;$U$2,$U$2,(IF(C132+F132+G132-J132&lt;0,0,C132+F132+G132-J132)))</f>
        <v>0</v>
      </c>
      <c r="L132" s="11">
        <f t="shared" si="30"/>
        <v>0</v>
      </c>
      <c r="M132" s="2">
        <f t="shared" si="31"/>
        <v>60</v>
      </c>
      <c r="N132" s="10">
        <f t="shared" si="34"/>
        <v>-60</v>
      </c>
      <c r="O132" s="49">
        <f t="shared" si="35"/>
        <v>0</v>
      </c>
      <c r="P132" s="41">
        <f t="shared" ref="P132:P153" si="38">IF(V132+F132+O132-J132&gt;$U$2,$U$2,(IF(V132+F132+O132-J132&lt;0,0,V132+F132+O132-J132)))</f>
        <v>0</v>
      </c>
      <c r="Q132" s="17"/>
      <c r="R132" s="17"/>
      <c r="S132" s="17"/>
      <c r="T132" s="17"/>
      <c r="U132" s="17"/>
      <c r="V132" s="17"/>
      <c r="W132" s="17"/>
      <c r="X132" s="17"/>
      <c r="Y132" s="17"/>
    </row>
    <row r="133" spans="1:25" x14ac:dyDescent="0.3">
      <c r="A133" s="5">
        <f t="shared" si="36"/>
        <v>46048</v>
      </c>
      <c r="B133" s="45" t="s">
        <v>58</v>
      </c>
      <c r="C133" s="18"/>
      <c r="D133" s="19"/>
      <c r="E133" s="19">
        <v>1</v>
      </c>
      <c r="F133" s="7">
        <f t="shared" si="32"/>
        <v>0</v>
      </c>
      <c r="G133" s="25">
        <f t="shared" si="37"/>
        <v>0</v>
      </c>
      <c r="H133" s="51">
        <v>6</v>
      </c>
      <c r="I133" s="30">
        <v>0.77</v>
      </c>
      <c r="J133" s="21">
        <f>H133*I133</f>
        <v>4.62</v>
      </c>
      <c r="K133" s="11">
        <f t="shared" si="29"/>
        <v>0</v>
      </c>
      <c r="L133" s="11">
        <f t="shared" si="30"/>
        <v>0</v>
      </c>
      <c r="M133" s="2">
        <f t="shared" si="31"/>
        <v>60</v>
      </c>
      <c r="N133" s="10">
        <f t="shared" si="34"/>
        <v>-60</v>
      </c>
      <c r="O133" s="49">
        <f t="shared" si="35"/>
        <v>0</v>
      </c>
      <c r="P133" s="41">
        <f t="shared" si="38"/>
        <v>0</v>
      </c>
      <c r="Q133" s="17"/>
      <c r="R133" s="17"/>
      <c r="S133" s="17"/>
      <c r="T133" s="17"/>
      <c r="U133" s="17"/>
      <c r="V133" s="17"/>
      <c r="W133" s="17"/>
      <c r="X133" s="17"/>
      <c r="Y133" s="17"/>
    </row>
    <row r="134" spans="1:25" x14ac:dyDescent="0.3">
      <c r="A134" s="5">
        <f t="shared" si="36"/>
        <v>46049</v>
      </c>
      <c r="B134" s="45" t="s">
        <v>58</v>
      </c>
      <c r="C134" s="18"/>
      <c r="D134" s="19"/>
      <c r="E134" s="19">
        <v>1</v>
      </c>
      <c r="F134" s="7">
        <f t="shared" si="32"/>
        <v>0</v>
      </c>
      <c r="G134" s="25">
        <f t="shared" si="37"/>
        <v>0</v>
      </c>
      <c r="H134" s="51">
        <v>6.05</v>
      </c>
      <c r="I134" s="30">
        <v>0.77</v>
      </c>
      <c r="J134" s="21">
        <f t="shared" si="33"/>
        <v>4.6585000000000001</v>
      </c>
      <c r="K134" s="11">
        <f>IF(C134+F134+G134-J134&gt;$U$2,$U$2,(IF(C134+F134+G134-J134&lt;0,0,C134+F134+G134-J134)))</f>
        <v>0</v>
      </c>
      <c r="L134" s="11">
        <f t="shared" si="30"/>
        <v>0</v>
      </c>
      <c r="M134" s="2">
        <f t="shared" si="31"/>
        <v>60</v>
      </c>
      <c r="N134" s="10">
        <f t="shared" si="34"/>
        <v>-60</v>
      </c>
      <c r="O134" s="49">
        <f t="shared" si="35"/>
        <v>0</v>
      </c>
      <c r="P134" s="41">
        <f t="shared" si="38"/>
        <v>0</v>
      </c>
      <c r="Q134" s="17"/>
      <c r="R134" s="17"/>
      <c r="S134" s="17"/>
      <c r="T134" s="17"/>
      <c r="U134" s="17"/>
      <c r="V134" s="17"/>
      <c r="W134" s="17"/>
      <c r="X134" s="17"/>
      <c r="Y134" s="17"/>
    </row>
    <row r="135" spans="1:25" x14ac:dyDescent="0.3">
      <c r="A135" s="5">
        <f t="shared" si="36"/>
        <v>46050</v>
      </c>
      <c r="B135" s="45" t="s">
        <v>58</v>
      </c>
      <c r="C135" s="18"/>
      <c r="D135" s="19"/>
      <c r="E135" s="19">
        <v>1</v>
      </c>
      <c r="F135" s="7">
        <f t="shared" si="32"/>
        <v>0</v>
      </c>
      <c r="G135" s="25">
        <f t="shared" si="37"/>
        <v>0</v>
      </c>
      <c r="H135" s="56">
        <v>5</v>
      </c>
      <c r="I135" s="30">
        <v>0.77</v>
      </c>
      <c r="J135" s="21">
        <f t="shared" si="33"/>
        <v>3.85</v>
      </c>
      <c r="K135" s="11">
        <f>IF(C135+F135+G135-J135&gt;$U$2,$U$2,(IF(C135+F135+G135-J135&lt;0,0,C135+F135+G135-J135)))</f>
        <v>0</v>
      </c>
      <c r="L135" s="11">
        <f t="shared" si="30"/>
        <v>0</v>
      </c>
      <c r="M135" s="2">
        <f t="shared" si="31"/>
        <v>60</v>
      </c>
      <c r="N135" s="10">
        <f t="shared" si="34"/>
        <v>-60</v>
      </c>
      <c r="O135" s="49">
        <f t="shared" si="35"/>
        <v>0</v>
      </c>
      <c r="P135" s="41">
        <f t="shared" si="38"/>
        <v>0</v>
      </c>
      <c r="Q135" s="17"/>
      <c r="R135" s="17"/>
      <c r="S135" s="17"/>
      <c r="T135" s="17"/>
      <c r="U135" s="17"/>
      <c r="V135" s="17"/>
      <c r="W135" s="17"/>
      <c r="X135" s="17"/>
      <c r="Y135" s="17"/>
    </row>
    <row r="136" spans="1:25" x14ac:dyDescent="0.3">
      <c r="A136" s="5">
        <f t="shared" si="36"/>
        <v>46051</v>
      </c>
      <c r="B136" s="45" t="s">
        <v>58</v>
      </c>
      <c r="C136" s="18"/>
      <c r="D136" s="19"/>
      <c r="E136" s="19">
        <v>1</v>
      </c>
      <c r="F136" s="7">
        <f t="shared" si="32"/>
        <v>0</v>
      </c>
      <c r="G136" s="25">
        <f t="shared" si="37"/>
        <v>0</v>
      </c>
      <c r="H136" s="56">
        <v>5</v>
      </c>
      <c r="I136" s="30">
        <v>0.77</v>
      </c>
      <c r="J136" s="21">
        <f t="shared" si="33"/>
        <v>3.85</v>
      </c>
      <c r="K136" s="11">
        <f t="shared" si="29"/>
        <v>0</v>
      </c>
      <c r="L136" s="11">
        <f t="shared" si="30"/>
        <v>0</v>
      </c>
      <c r="M136" s="2">
        <f t="shared" si="31"/>
        <v>60</v>
      </c>
      <c r="N136" s="10">
        <f t="shared" si="34"/>
        <v>-60</v>
      </c>
      <c r="O136" s="49">
        <f t="shared" si="35"/>
        <v>0</v>
      </c>
      <c r="P136" s="41">
        <f t="shared" si="38"/>
        <v>0</v>
      </c>
      <c r="Q136" s="17"/>
      <c r="R136" s="17"/>
      <c r="S136" s="17"/>
      <c r="T136" s="17"/>
      <c r="U136" s="17"/>
      <c r="V136" s="17"/>
      <c r="W136" s="17"/>
      <c r="X136" s="17"/>
      <c r="Y136" s="17"/>
    </row>
    <row r="137" spans="1:25" x14ac:dyDescent="0.3">
      <c r="A137" s="5">
        <f t="shared" si="36"/>
        <v>46052</v>
      </c>
      <c r="B137" s="45" t="s">
        <v>58</v>
      </c>
      <c r="C137" s="18"/>
      <c r="D137" s="19"/>
      <c r="E137" s="19">
        <v>1</v>
      </c>
      <c r="F137" s="7">
        <f t="shared" si="32"/>
        <v>0</v>
      </c>
      <c r="G137" s="25">
        <f>K136</f>
        <v>0</v>
      </c>
      <c r="H137" s="56">
        <v>5</v>
      </c>
      <c r="I137" s="30">
        <v>0.77</v>
      </c>
      <c r="J137" s="21">
        <f t="shared" si="33"/>
        <v>3.85</v>
      </c>
      <c r="K137" s="11">
        <f>IF(C137+F137+G137-J137&gt;$U$2,$U$2,(IF(C137+F137+G137-J137&lt;0,0,C137+F137+G137-J137)))</f>
        <v>0</v>
      </c>
      <c r="L137" s="11">
        <f t="shared" si="30"/>
        <v>0</v>
      </c>
      <c r="M137" s="2">
        <f t="shared" si="31"/>
        <v>60</v>
      </c>
      <c r="N137" s="10">
        <f t="shared" si="34"/>
        <v>-60</v>
      </c>
      <c r="O137" s="49">
        <f t="shared" si="35"/>
        <v>0</v>
      </c>
      <c r="P137" s="41">
        <f t="shared" si="38"/>
        <v>0</v>
      </c>
      <c r="Q137" s="39">
        <f>AVERAGE(I77:I137)</f>
        <v>0.97196721311475487</v>
      </c>
      <c r="R137" s="47">
        <f>AVERAGE(H77:H137)</f>
        <v>5.4895081967213137</v>
      </c>
      <c r="S137" s="47">
        <f>AVERAGE(J77:J137)</f>
        <v>5.3352770491803305</v>
      </c>
      <c r="T137" s="17"/>
      <c r="U137" s="17"/>
      <c r="V137" s="17"/>
      <c r="W137" s="17"/>
      <c r="X137" s="17"/>
      <c r="Y137" s="17"/>
    </row>
    <row r="138" spans="1:25" x14ac:dyDescent="0.3">
      <c r="A138" s="5">
        <f t="shared" si="36"/>
        <v>46053</v>
      </c>
      <c r="B138" s="45" t="s">
        <v>60</v>
      </c>
      <c r="C138" s="18"/>
      <c r="D138" s="19"/>
      <c r="E138" s="19">
        <v>1</v>
      </c>
      <c r="F138" s="7">
        <f t="shared" si="32"/>
        <v>0</v>
      </c>
      <c r="G138" s="25">
        <f>K137</f>
        <v>0</v>
      </c>
      <c r="H138" s="29"/>
      <c r="I138" s="30">
        <v>0.77</v>
      </c>
      <c r="J138" s="21">
        <f t="shared" si="33"/>
        <v>0</v>
      </c>
      <c r="K138" s="11">
        <f t="shared" si="29"/>
        <v>0</v>
      </c>
      <c r="L138" s="11">
        <f t="shared" si="30"/>
        <v>0</v>
      </c>
      <c r="M138" s="2">
        <f t="shared" ref="M138:M153" si="39">+$U$2*0.5</f>
        <v>60</v>
      </c>
      <c r="N138" s="10">
        <f t="shared" si="34"/>
        <v>-60</v>
      </c>
      <c r="O138" s="49">
        <f t="shared" si="35"/>
        <v>0</v>
      </c>
      <c r="P138" s="41">
        <f t="shared" si="38"/>
        <v>0</v>
      </c>
      <c r="Q138" s="17"/>
      <c r="R138" s="17"/>
      <c r="S138" s="17"/>
      <c r="T138" s="17"/>
      <c r="U138" s="17"/>
      <c r="V138" s="17"/>
      <c r="W138" s="17"/>
      <c r="X138" s="17"/>
      <c r="Y138" s="17"/>
    </row>
    <row r="139" spans="1:25" x14ac:dyDescent="0.3">
      <c r="A139" s="5">
        <f t="shared" si="36"/>
        <v>46054</v>
      </c>
      <c r="B139" s="45" t="s">
        <v>60</v>
      </c>
      <c r="C139" s="18"/>
      <c r="D139" s="19"/>
      <c r="E139" s="19">
        <v>1</v>
      </c>
      <c r="F139" s="7">
        <f t="shared" si="32"/>
        <v>0</v>
      </c>
      <c r="G139" s="25">
        <f>K138</f>
        <v>0</v>
      </c>
      <c r="H139" s="29"/>
      <c r="I139" s="30">
        <v>0.56000000000000005</v>
      </c>
      <c r="J139" s="21">
        <f t="shared" si="33"/>
        <v>0</v>
      </c>
      <c r="K139" s="11">
        <f t="shared" si="29"/>
        <v>0</v>
      </c>
      <c r="L139" s="11">
        <f t="shared" si="30"/>
        <v>0</v>
      </c>
      <c r="M139" s="2">
        <f t="shared" si="39"/>
        <v>60</v>
      </c>
      <c r="N139" s="10">
        <f t="shared" si="34"/>
        <v>-60</v>
      </c>
      <c r="O139" s="49">
        <f t="shared" si="35"/>
        <v>0</v>
      </c>
      <c r="P139" s="41">
        <f t="shared" si="38"/>
        <v>0</v>
      </c>
      <c r="Q139" s="17"/>
      <c r="R139" s="17"/>
      <c r="S139" s="17"/>
      <c r="T139" s="17"/>
      <c r="U139" s="17"/>
      <c r="V139" s="17"/>
      <c r="W139" s="17"/>
      <c r="X139" s="17"/>
      <c r="Y139" s="17"/>
    </row>
    <row r="140" spans="1:25" x14ac:dyDescent="0.3">
      <c r="A140" s="5">
        <f t="shared" si="36"/>
        <v>46055</v>
      </c>
      <c r="B140" s="45" t="s">
        <v>60</v>
      </c>
      <c r="C140" s="18"/>
      <c r="D140" s="19"/>
      <c r="E140" s="19">
        <v>1</v>
      </c>
      <c r="F140" s="7">
        <f t="shared" si="32"/>
        <v>0</v>
      </c>
      <c r="G140" s="25">
        <f>K139</f>
        <v>0</v>
      </c>
      <c r="H140" s="29"/>
      <c r="I140" s="30">
        <v>0.56000000000000005</v>
      </c>
      <c r="J140" s="21">
        <f t="shared" si="33"/>
        <v>0</v>
      </c>
      <c r="K140" s="11">
        <f t="shared" si="29"/>
        <v>0</v>
      </c>
      <c r="L140" s="11">
        <f t="shared" si="30"/>
        <v>0</v>
      </c>
      <c r="M140" s="2">
        <f t="shared" si="39"/>
        <v>60</v>
      </c>
      <c r="N140" s="10">
        <f t="shared" si="34"/>
        <v>-60</v>
      </c>
      <c r="O140" s="49">
        <f t="shared" si="35"/>
        <v>0</v>
      </c>
      <c r="P140" s="41">
        <f t="shared" si="38"/>
        <v>0</v>
      </c>
      <c r="Q140" s="17"/>
      <c r="R140" s="17"/>
      <c r="S140" s="17"/>
      <c r="T140" s="17"/>
      <c r="U140" s="17"/>
      <c r="V140" s="17"/>
      <c r="W140" s="17"/>
      <c r="X140" s="17"/>
      <c r="Y140" s="17"/>
    </row>
    <row r="141" spans="1:25" x14ac:dyDescent="0.3">
      <c r="A141" s="5">
        <f t="shared" si="36"/>
        <v>46056</v>
      </c>
      <c r="B141" s="45" t="s">
        <v>60</v>
      </c>
      <c r="C141" s="18"/>
      <c r="D141" s="19"/>
      <c r="E141" s="19">
        <v>1</v>
      </c>
      <c r="F141" s="7">
        <f t="shared" si="32"/>
        <v>0</v>
      </c>
      <c r="G141" s="25">
        <f>K140</f>
        <v>0</v>
      </c>
      <c r="H141" s="29"/>
      <c r="I141" s="30">
        <v>0.56000000000000005</v>
      </c>
      <c r="J141" s="21">
        <f t="shared" si="33"/>
        <v>0</v>
      </c>
      <c r="K141" s="11">
        <f t="shared" si="29"/>
        <v>0</v>
      </c>
      <c r="L141" s="11">
        <f t="shared" si="30"/>
        <v>0</v>
      </c>
      <c r="M141" s="2">
        <f t="shared" si="39"/>
        <v>60</v>
      </c>
      <c r="N141" s="10">
        <f t="shared" si="34"/>
        <v>-60</v>
      </c>
      <c r="O141" s="49">
        <f t="shared" si="35"/>
        <v>0</v>
      </c>
      <c r="P141" s="41">
        <f t="shared" si="38"/>
        <v>0</v>
      </c>
      <c r="Q141" s="17"/>
      <c r="R141" s="17"/>
      <c r="S141" s="17"/>
      <c r="T141" s="17"/>
      <c r="U141" s="17"/>
      <c r="V141" s="17"/>
      <c r="W141" s="17"/>
      <c r="X141" s="17"/>
      <c r="Y141" s="17"/>
    </row>
    <row r="142" spans="1:25" x14ac:dyDescent="0.3">
      <c r="A142" s="5">
        <f t="shared" si="36"/>
        <v>46057</v>
      </c>
      <c r="B142" s="45" t="s">
        <v>60</v>
      </c>
      <c r="C142" s="18"/>
      <c r="D142" s="19"/>
      <c r="E142" s="19">
        <v>1</v>
      </c>
      <c r="F142" s="7">
        <f t="shared" si="32"/>
        <v>0</v>
      </c>
      <c r="G142" s="25">
        <f t="shared" si="37"/>
        <v>0</v>
      </c>
      <c r="H142" s="29"/>
      <c r="I142" s="30">
        <v>0.56000000000000005</v>
      </c>
      <c r="J142" s="21">
        <f t="shared" si="33"/>
        <v>0</v>
      </c>
      <c r="K142" s="11">
        <f t="shared" si="29"/>
        <v>0</v>
      </c>
      <c r="L142" s="11">
        <f t="shared" si="30"/>
        <v>0</v>
      </c>
      <c r="M142" s="2">
        <f t="shared" si="39"/>
        <v>60</v>
      </c>
      <c r="N142" s="10">
        <f t="shared" si="34"/>
        <v>-60</v>
      </c>
      <c r="O142" s="49">
        <f t="shared" si="35"/>
        <v>0</v>
      </c>
      <c r="P142" s="41">
        <f t="shared" si="38"/>
        <v>0</v>
      </c>
      <c r="Q142" s="17"/>
      <c r="R142" s="17"/>
      <c r="S142" s="17"/>
      <c r="T142" s="17"/>
      <c r="U142" s="17"/>
      <c r="V142" s="17"/>
      <c r="W142" s="17"/>
      <c r="X142" s="17"/>
      <c r="Y142" s="17"/>
    </row>
    <row r="143" spans="1:25" x14ac:dyDescent="0.3">
      <c r="A143" s="5">
        <f t="shared" si="36"/>
        <v>46058</v>
      </c>
      <c r="B143" s="45" t="s">
        <v>60</v>
      </c>
      <c r="C143" s="18"/>
      <c r="D143" s="19"/>
      <c r="E143" s="19">
        <v>1</v>
      </c>
      <c r="F143" s="7">
        <f t="shared" si="32"/>
        <v>0</v>
      </c>
      <c r="G143" s="25">
        <f t="shared" si="37"/>
        <v>0</v>
      </c>
      <c r="H143" s="29"/>
      <c r="I143" s="30">
        <v>0.56000000000000005</v>
      </c>
      <c r="J143" s="21">
        <f t="shared" si="33"/>
        <v>0</v>
      </c>
      <c r="K143" s="11">
        <f t="shared" si="29"/>
        <v>0</v>
      </c>
      <c r="L143" s="11">
        <f t="shared" si="30"/>
        <v>0</v>
      </c>
      <c r="M143" s="2">
        <f t="shared" si="39"/>
        <v>60</v>
      </c>
      <c r="N143" s="10">
        <f t="shared" si="34"/>
        <v>-60</v>
      </c>
      <c r="O143" s="49">
        <f t="shared" si="35"/>
        <v>0</v>
      </c>
      <c r="P143" s="41">
        <f t="shared" si="38"/>
        <v>0</v>
      </c>
      <c r="T143" s="17"/>
      <c r="U143" s="17"/>
      <c r="V143" s="17"/>
      <c r="W143" s="17"/>
      <c r="X143" s="17"/>
      <c r="Y143" s="17"/>
    </row>
    <row r="144" spans="1:25" x14ac:dyDescent="0.3">
      <c r="A144" s="5">
        <f t="shared" si="36"/>
        <v>46059</v>
      </c>
      <c r="B144" s="45" t="s">
        <v>60</v>
      </c>
      <c r="C144" s="18"/>
      <c r="D144" s="19"/>
      <c r="E144" s="19">
        <v>1</v>
      </c>
      <c r="F144" s="7">
        <f t="shared" si="32"/>
        <v>0</v>
      </c>
      <c r="G144" s="25">
        <f t="shared" si="37"/>
        <v>0</v>
      </c>
      <c r="H144" s="29"/>
      <c r="I144" s="30">
        <v>0.56000000000000005</v>
      </c>
      <c r="J144" s="21">
        <f t="shared" si="33"/>
        <v>0</v>
      </c>
      <c r="K144" s="11">
        <f t="shared" si="29"/>
        <v>0</v>
      </c>
      <c r="L144" s="11">
        <f t="shared" si="30"/>
        <v>0</v>
      </c>
      <c r="M144" s="2">
        <f t="shared" si="39"/>
        <v>60</v>
      </c>
      <c r="N144" s="10">
        <f t="shared" si="34"/>
        <v>-60</v>
      </c>
      <c r="O144" s="49">
        <f t="shared" si="35"/>
        <v>0</v>
      </c>
      <c r="P144" s="41">
        <f t="shared" si="38"/>
        <v>0</v>
      </c>
      <c r="Q144" s="17"/>
      <c r="R144" s="17"/>
      <c r="S144" s="17"/>
      <c r="T144" s="17"/>
      <c r="U144" s="17"/>
      <c r="V144" s="17"/>
      <c r="W144" s="17"/>
      <c r="X144" s="17"/>
      <c r="Y144" s="17"/>
    </row>
    <row r="145" spans="1:25" x14ac:dyDescent="0.3">
      <c r="A145" s="5">
        <f t="shared" si="36"/>
        <v>46060</v>
      </c>
      <c r="B145" s="45" t="s">
        <v>60</v>
      </c>
      <c r="C145" s="18"/>
      <c r="D145" s="19"/>
      <c r="E145" s="19">
        <v>1</v>
      </c>
      <c r="F145" s="7">
        <f t="shared" si="32"/>
        <v>0</v>
      </c>
      <c r="G145" s="25">
        <f t="shared" si="37"/>
        <v>0</v>
      </c>
      <c r="H145" s="29"/>
      <c r="I145" s="30">
        <v>0.56000000000000005</v>
      </c>
      <c r="J145" s="21">
        <f t="shared" si="33"/>
        <v>0</v>
      </c>
      <c r="K145" s="11">
        <f t="shared" si="29"/>
        <v>0</v>
      </c>
      <c r="L145" s="11">
        <f t="shared" si="30"/>
        <v>0</v>
      </c>
      <c r="M145" s="2">
        <f t="shared" si="39"/>
        <v>60</v>
      </c>
      <c r="N145" s="10">
        <f t="shared" si="34"/>
        <v>-60</v>
      </c>
      <c r="O145" s="49">
        <f t="shared" si="35"/>
        <v>0</v>
      </c>
      <c r="P145" s="41">
        <f t="shared" si="38"/>
        <v>0</v>
      </c>
      <c r="Q145" s="17"/>
      <c r="R145" s="17"/>
      <c r="S145" s="17"/>
      <c r="T145" s="17"/>
      <c r="U145" s="17"/>
      <c r="V145" s="17"/>
      <c r="W145" s="17"/>
      <c r="X145" s="17"/>
      <c r="Y145" s="17"/>
    </row>
    <row r="146" spans="1:25" x14ac:dyDescent="0.3">
      <c r="A146" s="5">
        <f t="shared" si="36"/>
        <v>46061</v>
      </c>
      <c r="B146" s="45" t="s">
        <v>60</v>
      </c>
      <c r="C146" s="18"/>
      <c r="D146" s="19"/>
      <c r="E146" s="19">
        <v>1</v>
      </c>
      <c r="F146" s="7">
        <f t="shared" si="32"/>
        <v>0</v>
      </c>
      <c r="G146" s="25">
        <f t="shared" si="37"/>
        <v>0</v>
      </c>
      <c r="H146" s="29"/>
      <c r="I146" s="30">
        <v>0.56000000000000005</v>
      </c>
      <c r="J146" s="21">
        <f t="shared" si="33"/>
        <v>0</v>
      </c>
      <c r="K146" s="11">
        <f t="shared" si="29"/>
        <v>0</v>
      </c>
      <c r="L146" s="11">
        <f t="shared" si="30"/>
        <v>0</v>
      </c>
      <c r="M146" s="2">
        <f t="shared" si="39"/>
        <v>60</v>
      </c>
      <c r="N146" s="10">
        <f t="shared" si="34"/>
        <v>-60</v>
      </c>
      <c r="O146" s="49">
        <f t="shared" si="35"/>
        <v>0</v>
      </c>
      <c r="P146" s="41">
        <f t="shared" si="38"/>
        <v>0</v>
      </c>
      <c r="Q146" s="17"/>
      <c r="R146" s="17"/>
      <c r="S146" s="17"/>
      <c r="T146" s="17"/>
      <c r="U146" s="17"/>
      <c r="V146" s="17"/>
      <c r="W146" s="17"/>
      <c r="X146" s="17"/>
      <c r="Y146" s="17"/>
    </row>
    <row r="147" spans="1:25" x14ac:dyDescent="0.3">
      <c r="A147" s="5">
        <f t="shared" si="36"/>
        <v>46062</v>
      </c>
      <c r="B147" s="45" t="s">
        <v>60</v>
      </c>
      <c r="C147" s="18"/>
      <c r="D147" s="19"/>
      <c r="E147" s="19">
        <v>1</v>
      </c>
      <c r="F147" s="7">
        <f t="shared" si="32"/>
        <v>0</v>
      </c>
      <c r="G147" s="25">
        <f t="shared" si="37"/>
        <v>0</v>
      </c>
      <c r="H147" s="29"/>
      <c r="I147" s="30">
        <v>0.35</v>
      </c>
      <c r="J147" s="21">
        <f t="shared" si="33"/>
        <v>0</v>
      </c>
      <c r="K147" s="11">
        <f t="shared" si="29"/>
        <v>0</v>
      </c>
      <c r="L147" s="11">
        <f t="shared" si="30"/>
        <v>0</v>
      </c>
      <c r="M147" s="2">
        <f t="shared" si="39"/>
        <v>60</v>
      </c>
      <c r="N147" s="10">
        <f t="shared" si="34"/>
        <v>-60</v>
      </c>
      <c r="O147" s="49">
        <f t="shared" si="35"/>
        <v>0</v>
      </c>
      <c r="P147" s="41">
        <f t="shared" si="38"/>
        <v>0</v>
      </c>
      <c r="Q147" s="17"/>
      <c r="R147" s="17"/>
      <c r="S147" s="17"/>
      <c r="T147" s="17"/>
      <c r="U147" s="17"/>
      <c r="V147" s="17"/>
      <c r="W147" s="17"/>
      <c r="X147" s="17"/>
      <c r="Y147" s="17"/>
    </row>
    <row r="148" spans="1:25" x14ac:dyDescent="0.3">
      <c r="A148" s="5">
        <f t="shared" si="36"/>
        <v>46063</v>
      </c>
      <c r="B148" s="45" t="s">
        <v>60</v>
      </c>
      <c r="C148" s="18"/>
      <c r="D148" s="19"/>
      <c r="E148" s="19">
        <v>1</v>
      </c>
      <c r="F148" s="7">
        <f t="shared" si="32"/>
        <v>0</v>
      </c>
      <c r="G148" s="25">
        <f t="shared" si="37"/>
        <v>0</v>
      </c>
      <c r="H148" s="29"/>
      <c r="I148" s="30">
        <v>0.35</v>
      </c>
      <c r="J148" s="21">
        <f t="shared" si="33"/>
        <v>0</v>
      </c>
      <c r="K148" s="11">
        <f t="shared" si="29"/>
        <v>0</v>
      </c>
      <c r="L148" s="11">
        <f t="shared" si="30"/>
        <v>0</v>
      </c>
      <c r="M148" s="2">
        <f t="shared" si="39"/>
        <v>60</v>
      </c>
      <c r="N148" s="10">
        <f t="shared" si="34"/>
        <v>-60</v>
      </c>
      <c r="O148" s="49">
        <f t="shared" si="35"/>
        <v>0</v>
      </c>
      <c r="P148" s="41">
        <f t="shared" si="38"/>
        <v>0</v>
      </c>
      <c r="Q148" s="17"/>
      <c r="R148" s="17"/>
      <c r="S148" s="17"/>
      <c r="T148" s="17"/>
      <c r="U148" s="17"/>
      <c r="V148" s="17"/>
      <c r="W148" s="17"/>
      <c r="X148" s="17"/>
      <c r="Y148" s="17"/>
    </row>
    <row r="149" spans="1:25" x14ac:dyDescent="0.3">
      <c r="A149" s="5">
        <f t="shared" si="36"/>
        <v>46064</v>
      </c>
      <c r="B149" s="45" t="s">
        <v>60</v>
      </c>
      <c r="C149" s="18"/>
      <c r="D149" s="19"/>
      <c r="E149" s="19">
        <v>1</v>
      </c>
      <c r="F149" s="7">
        <f t="shared" si="32"/>
        <v>0</v>
      </c>
      <c r="G149" s="25">
        <f t="shared" si="37"/>
        <v>0</v>
      </c>
      <c r="H149" s="29"/>
      <c r="I149" s="30">
        <v>0.35</v>
      </c>
      <c r="J149" s="21">
        <f t="shared" si="33"/>
        <v>0</v>
      </c>
      <c r="K149" s="11">
        <f t="shared" si="29"/>
        <v>0</v>
      </c>
      <c r="L149" s="11">
        <f t="shared" si="30"/>
        <v>0</v>
      </c>
      <c r="M149" s="2">
        <f t="shared" si="39"/>
        <v>60</v>
      </c>
      <c r="N149" s="10">
        <f t="shared" si="34"/>
        <v>-60</v>
      </c>
      <c r="O149" s="49">
        <f t="shared" si="35"/>
        <v>0</v>
      </c>
      <c r="P149" s="41">
        <f t="shared" si="38"/>
        <v>0</v>
      </c>
      <c r="Q149" s="17"/>
      <c r="R149" s="17"/>
      <c r="S149" s="17"/>
      <c r="T149" s="17"/>
      <c r="U149" s="17"/>
      <c r="V149" s="17"/>
      <c r="W149" s="17"/>
      <c r="X149" s="17"/>
      <c r="Y149" s="17"/>
    </row>
    <row r="150" spans="1:25" x14ac:dyDescent="0.3">
      <c r="A150" s="5">
        <f t="shared" si="36"/>
        <v>46065</v>
      </c>
      <c r="B150" s="45" t="s">
        <v>60</v>
      </c>
      <c r="C150" s="18"/>
      <c r="D150" s="19"/>
      <c r="E150" s="19">
        <v>1</v>
      </c>
      <c r="F150" s="7">
        <f t="shared" si="32"/>
        <v>0</v>
      </c>
      <c r="G150" s="25">
        <f t="shared" si="37"/>
        <v>0</v>
      </c>
      <c r="H150" s="29"/>
      <c r="I150" s="30">
        <v>0.35</v>
      </c>
      <c r="J150" s="21">
        <f t="shared" si="33"/>
        <v>0</v>
      </c>
      <c r="K150" s="11">
        <f t="shared" si="29"/>
        <v>0</v>
      </c>
      <c r="L150" s="11">
        <f t="shared" si="30"/>
        <v>0</v>
      </c>
      <c r="M150" s="2">
        <f t="shared" si="39"/>
        <v>60</v>
      </c>
      <c r="N150" s="10">
        <f t="shared" si="34"/>
        <v>-60</v>
      </c>
      <c r="O150" s="49">
        <f t="shared" si="35"/>
        <v>0</v>
      </c>
      <c r="P150" s="41">
        <f t="shared" si="38"/>
        <v>0</v>
      </c>
      <c r="Q150" s="17"/>
      <c r="R150" s="17"/>
      <c r="S150" s="17"/>
      <c r="T150" s="17"/>
      <c r="U150" s="17"/>
      <c r="V150" s="17"/>
      <c r="W150" s="17"/>
      <c r="X150" s="17"/>
      <c r="Y150" s="17"/>
    </row>
    <row r="151" spans="1:25" x14ac:dyDescent="0.3">
      <c r="A151" s="5">
        <f t="shared" si="36"/>
        <v>46066</v>
      </c>
      <c r="B151" s="45" t="s">
        <v>60</v>
      </c>
      <c r="C151" s="18"/>
      <c r="D151" s="19"/>
      <c r="E151" s="19">
        <v>1</v>
      </c>
      <c r="F151" s="7">
        <f t="shared" si="32"/>
        <v>0</v>
      </c>
      <c r="G151" s="25">
        <f t="shared" si="37"/>
        <v>0</v>
      </c>
      <c r="H151" s="29"/>
      <c r="I151" s="30">
        <v>0.35</v>
      </c>
      <c r="J151" s="21">
        <f t="shared" si="33"/>
        <v>0</v>
      </c>
      <c r="K151" s="11">
        <f t="shared" si="29"/>
        <v>0</v>
      </c>
      <c r="L151" s="11">
        <f t="shared" si="30"/>
        <v>0</v>
      </c>
      <c r="M151" s="2">
        <f t="shared" si="39"/>
        <v>60</v>
      </c>
      <c r="N151" s="10">
        <f t="shared" si="34"/>
        <v>-60</v>
      </c>
      <c r="O151" s="49">
        <f t="shared" si="35"/>
        <v>0</v>
      </c>
      <c r="P151" s="41">
        <f t="shared" si="38"/>
        <v>0</v>
      </c>
      <c r="T151" s="17"/>
      <c r="U151" s="17"/>
      <c r="V151" s="17"/>
      <c r="W151" s="17"/>
      <c r="X151" s="17"/>
      <c r="Y151" s="17"/>
    </row>
    <row r="152" spans="1:25" x14ac:dyDescent="0.3">
      <c r="A152" s="5">
        <f t="shared" si="36"/>
        <v>46067</v>
      </c>
      <c r="B152" s="45" t="s">
        <v>60</v>
      </c>
      <c r="C152" s="18"/>
      <c r="D152" s="19"/>
      <c r="E152" s="19">
        <v>1</v>
      </c>
      <c r="F152" s="7">
        <f t="shared" si="32"/>
        <v>0</v>
      </c>
      <c r="G152" s="25">
        <f t="shared" si="37"/>
        <v>0</v>
      </c>
      <c r="H152" s="29"/>
      <c r="I152" s="30">
        <v>0.35</v>
      </c>
      <c r="J152" s="21">
        <f t="shared" si="33"/>
        <v>0</v>
      </c>
      <c r="K152" s="11">
        <f t="shared" si="29"/>
        <v>0</v>
      </c>
      <c r="L152" s="11">
        <f t="shared" si="30"/>
        <v>0</v>
      </c>
      <c r="M152" s="2">
        <f t="shared" si="39"/>
        <v>60</v>
      </c>
      <c r="N152" s="10">
        <f t="shared" si="34"/>
        <v>-60</v>
      </c>
      <c r="O152" s="49">
        <f t="shared" si="35"/>
        <v>0</v>
      </c>
      <c r="P152" s="41">
        <f t="shared" si="38"/>
        <v>0</v>
      </c>
      <c r="Q152" s="39">
        <f>AVERAGE(I138:I152)</f>
        <v>0.49</v>
      </c>
      <c r="R152" s="8" t="e">
        <f>AVERAGE(H138:H152)</f>
        <v>#DIV/0!</v>
      </c>
      <c r="S152" s="8">
        <f>AVERAGE(J138:J152)</f>
        <v>0</v>
      </c>
      <c r="T152" s="17"/>
      <c r="U152" s="17"/>
      <c r="V152" s="17"/>
      <c r="W152" s="17"/>
      <c r="X152" s="17"/>
      <c r="Y152" s="17"/>
    </row>
    <row r="153" spans="1:25" x14ac:dyDescent="0.3">
      <c r="A153" s="5">
        <f t="shared" si="36"/>
        <v>46068</v>
      </c>
      <c r="B153" s="44" t="s">
        <v>59</v>
      </c>
      <c r="C153" s="18"/>
      <c r="D153" s="19"/>
      <c r="E153" s="19">
        <v>1</v>
      </c>
      <c r="F153" s="7">
        <f t="shared" si="32"/>
        <v>0</v>
      </c>
      <c r="G153" s="25">
        <f>K137</f>
        <v>0</v>
      </c>
      <c r="H153" s="29"/>
      <c r="I153" s="30">
        <v>0.05</v>
      </c>
      <c r="J153" s="21">
        <f t="shared" si="33"/>
        <v>0</v>
      </c>
      <c r="K153" s="11">
        <f t="shared" si="29"/>
        <v>0</v>
      </c>
      <c r="L153" s="11">
        <f t="shared" si="30"/>
        <v>0</v>
      </c>
      <c r="M153" s="2">
        <f t="shared" si="39"/>
        <v>60</v>
      </c>
      <c r="N153" s="10">
        <f t="shared" si="34"/>
        <v>-60</v>
      </c>
      <c r="O153" s="49">
        <f>P137</f>
        <v>0</v>
      </c>
      <c r="P153" s="41">
        <f t="shared" si="38"/>
        <v>0</v>
      </c>
      <c r="Q153" s="39">
        <f>AVERAGE(I144:I153)</f>
        <v>0.38300000000000006</v>
      </c>
      <c r="R153" s="8" t="e">
        <f>AVERAGE(H144:H153)</f>
        <v>#DIV/0!</v>
      </c>
      <c r="S153" s="8">
        <f>AVERAGE(J144:J153)</f>
        <v>0</v>
      </c>
      <c r="T153" s="17"/>
      <c r="U153" s="17"/>
      <c r="V153" s="17"/>
      <c r="W153" s="17"/>
      <c r="X153" s="17"/>
      <c r="Y153" s="17"/>
    </row>
    <row r="154" spans="1:25" x14ac:dyDescent="0.3">
      <c r="A154" s="17" t="s">
        <v>73</v>
      </c>
      <c r="B154" s="17"/>
      <c r="C154" s="49">
        <f>SUM(C2:C153)</f>
        <v>200</v>
      </c>
      <c r="D154" s="49">
        <f>SUM(D2:D153)</f>
        <v>265</v>
      </c>
      <c r="F154" s="49">
        <f>SUM(F2:F153)</f>
        <v>252</v>
      </c>
      <c r="G154" s="31"/>
      <c r="J154" s="12">
        <f>SUM(J2:J153)</f>
        <v>479.58240000000018</v>
      </c>
      <c r="K154" s="32" t="s">
        <v>25</v>
      </c>
      <c r="L154" s="31"/>
      <c r="M154" s="22"/>
      <c r="N154" s="17"/>
      <c r="O154" s="22"/>
      <c r="P154" s="17"/>
      <c r="Q154" s="17"/>
      <c r="R154" s="17"/>
      <c r="S154" s="17"/>
      <c r="T154" s="17"/>
      <c r="U154" s="17"/>
      <c r="V154" s="17"/>
      <c r="W154" s="17"/>
      <c r="X154" s="17"/>
      <c r="Y154" s="17"/>
    </row>
    <row r="155" spans="1:25" x14ac:dyDescent="0.3">
      <c r="A155" s="17"/>
      <c r="B155" s="17"/>
      <c r="C155" s="22"/>
      <c r="D155" s="22"/>
      <c r="E155" s="17"/>
      <c r="F155" s="22"/>
      <c r="G155" s="31"/>
      <c r="J155" s="12">
        <f>F154+C154</f>
        <v>452</v>
      </c>
      <c r="K155" s="32" t="s">
        <v>26</v>
      </c>
      <c r="L155" s="31"/>
      <c r="M155" s="22"/>
      <c r="N155" s="17"/>
      <c r="O155" s="22"/>
      <c r="P155" s="17"/>
      <c r="Q155" s="17"/>
      <c r="R155" s="17"/>
      <c r="S155" s="17"/>
      <c r="T155" s="17"/>
      <c r="U155" s="17"/>
      <c r="V155" s="17"/>
      <c r="W155" s="17"/>
      <c r="X155" s="17"/>
      <c r="Y155" s="17"/>
    </row>
    <row r="156" spans="1:25" x14ac:dyDescent="0.3">
      <c r="A156" s="17"/>
      <c r="B156" s="17"/>
      <c r="C156" s="22"/>
      <c r="D156" s="22"/>
      <c r="E156" s="17"/>
      <c r="F156" s="22"/>
      <c r="G156" s="31"/>
      <c r="J156" s="12">
        <f>G2</f>
        <v>90</v>
      </c>
      <c r="K156" s="32" t="s">
        <v>27</v>
      </c>
      <c r="L156" s="31"/>
      <c r="M156" s="22"/>
      <c r="N156" s="17"/>
      <c r="O156" s="22"/>
      <c r="P156" s="17"/>
      <c r="Q156" s="17"/>
      <c r="R156" s="17"/>
      <c r="S156" s="17"/>
      <c r="T156" s="17"/>
      <c r="U156" s="17"/>
      <c r="V156" s="17"/>
      <c r="W156" s="17"/>
      <c r="X156" s="17"/>
      <c r="Y156" s="17"/>
    </row>
    <row r="157" spans="1:25" x14ac:dyDescent="0.3">
      <c r="A157" s="17"/>
      <c r="B157" s="17"/>
      <c r="C157" s="22"/>
      <c r="D157" s="22"/>
      <c r="E157" s="17"/>
      <c r="F157" s="22"/>
      <c r="G157" s="31"/>
      <c r="J157" s="12">
        <f>J155+J156</f>
        <v>542</v>
      </c>
      <c r="K157" s="32" t="s">
        <v>28</v>
      </c>
      <c r="L157" s="31"/>
      <c r="M157" s="22"/>
      <c r="N157" s="17"/>
      <c r="O157" s="22"/>
      <c r="P157" s="17"/>
      <c r="Q157" s="17"/>
      <c r="R157" s="17"/>
      <c r="S157" s="17"/>
      <c r="T157" s="17"/>
      <c r="U157" s="17"/>
      <c r="V157" s="17"/>
      <c r="W157" s="17"/>
      <c r="X157" s="17"/>
      <c r="Y157" s="17"/>
    </row>
    <row r="158" spans="1:25" x14ac:dyDescent="0.3">
      <c r="A158" s="17"/>
      <c r="B158" s="17"/>
      <c r="C158" s="22"/>
      <c r="D158" s="22"/>
      <c r="E158" s="17"/>
      <c r="F158" s="22"/>
      <c r="G158" s="31"/>
      <c r="J158" s="12">
        <f>-J154+J155+J156</f>
        <v>62.417599999999823</v>
      </c>
      <c r="K158" s="32" t="s">
        <v>29</v>
      </c>
      <c r="L158" s="31"/>
      <c r="M158" s="22"/>
      <c r="N158" s="17"/>
      <c r="O158" s="22"/>
      <c r="P158" s="17"/>
      <c r="Q158" s="17"/>
      <c r="R158" s="17"/>
      <c r="S158" s="17"/>
      <c r="T158" s="17"/>
      <c r="U158" s="17"/>
      <c r="V158" s="17"/>
      <c r="W158" s="17"/>
      <c r="X158" s="17"/>
      <c r="Y158" s="17"/>
    </row>
    <row r="159" spans="1:25" x14ac:dyDescent="0.3">
      <c r="A159" s="17"/>
      <c r="B159" s="17"/>
      <c r="C159" s="22"/>
      <c r="D159" s="22"/>
      <c r="E159" s="17"/>
      <c r="F159" s="22"/>
      <c r="G159" s="31"/>
      <c r="J159" s="23"/>
      <c r="K159" s="31"/>
      <c r="L159" s="31"/>
      <c r="M159" s="22"/>
      <c r="N159" s="17"/>
      <c r="O159" s="22"/>
      <c r="P159" s="17"/>
      <c r="Q159" s="17"/>
      <c r="R159" s="17"/>
      <c r="S159" s="17"/>
      <c r="T159" s="17"/>
      <c r="U159" s="17"/>
      <c r="V159" s="17"/>
      <c r="W159" s="17"/>
      <c r="X159" s="17"/>
      <c r="Y159" s="17"/>
    </row>
    <row r="160" spans="1:25" x14ac:dyDescent="0.3">
      <c r="A160" s="17"/>
      <c r="B160" s="17"/>
      <c r="C160" s="22"/>
      <c r="D160" s="22"/>
      <c r="E160" s="17"/>
      <c r="F160" s="22"/>
      <c r="G160" s="31"/>
      <c r="J160" s="23"/>
      <c r="K160" s="31"/>
      <c r="L160" s="31"/>
      <c r="M160" s="22"/>
      <c r="N160" s="17"/>
      <c r="O160" s="22"/>
      <c r="P160" s="17"/>
      <c r="Q160" s="17"/>
      <c r="R160" s="17"/>
      <c r="S160" s="17"/>
      <c r="T160" s="17"/>
      <c r="U160" s="17"/>
      <c r="V160" s="17"/>
      <c r="W160" s="17"/>
      <c r="X160" s="17"/>
      <c r="Y160" s="17"/>
    </row>
    <row r="161" spans="1:25" x14ac:dyDescent="0.3">
      <c r="A161" s="17"/>
      <c r="B161" s="17"/>
      <c r="C161" s="22"/>
      <c r="D161" s="22"/>
      <c r="E161" s="17"/>
      <c r="F161" s="22"/>
      <c r="G161" s="31"/>
      <c r="J161" s="23"/>
      <c r="K161" s="31"/>
      <c r="L161" s="31"/>
      <c r="M161" s="22"/>
      <c r="N161" s="17"/>
      <c r="O161" s="22"/>
      <c r="P161" s="17"/>
      <c r="Q161" s="17"/>
      <c r="R161" s="17"/>
      <c r="S161" s="17"/>
      <c r="T161" s="17"/>
      <c r="U161" s="17"/>
      <c r="V161" s="17"/>
      <c r="W161" s="17"/>
      <c r="X161" s="17"/>
      <c r="Y161" s="17"/>
    </row>
    <row r="162" spans="1:25" x14ac:dyDescent="0.3">
      <c r="A162" s="17"/>
      <c r="B162" s="17"/>
      <c r="C162" s="22"/>
      <c r="D162" s="22"/>
      <c r="E162" s="17"/>
      <c r="F162" s="22"/>
      <c r="G162" s="31"/>
      <c r="J162" s="23"/>
      <c r="K162" s="31"/>
      <c r="L162" s="31"/>
      <c r="M162" s="22"/>
      <c r="N162" s="17"/>
      <c r="O162" s="22"/>
      <c r="P162" s="17"/>
      <c r="Q162" s="17"/>
      <c r="R162" s="17"/>
      <c r="S162" s="17"/>
      <c r="T162" s="17"/>
      <c r="U162" s="17"/>
      <c r="V162" s="17"/>
      <c r="W162" s="17"/>
      <c r="X162" s="17"/>
      <c r="Y162" s="17"/>
    </row>
    <row r="163" spans="1:25" x14ac:dyDescent="0.3">
      <c r="A163" s="17"/>
      <c r="B163" s="17"/>
      <c r="C163" s="22"/>
      <c r="D163" s="22"/>
      <c r="E163" s="17"/>
      <c r="F163" s="22"/>
      <c r="G163" s="31"/>
      <c r="J163" s="23"/>
      <c r="K163" s="31"/>
      <c r="L163" s="31"/>
      <c r="M163" s="22"/>
      <c r="N163" s="17"/>
      <c r="O163" s="22"/>
      <c r="P163" s="17"/>
      <c r="Q163" s="17"/>
      <c r="R163" s="17"/>
      <c r="S163" s="17"/>
      <c r="T163" s="17"/>
      <c r="U163" s="17"/>
      <c r="V163" s="17"/>
      <c r="W163" s="17"/>
      <c r="X163" s="17"/>
      <c r="Y163" s="17"/>
    </row>
    <row r="164" spans="1:25" x14ac:dyDescent="0.3">
      <c r="A164" s="17"/>
      <c r="B164" s="17"/>
      <c r="C164" s="22"/>
      <c r="D164" s="22"/>
      <c r="E164" s="17"/>
      <c r="F164" s="22"/>
      <c r="G164" s="31"/>
      <c r="J164" s="23"/>
      <c r="K164" s="31"/>
      <c r="L164" s="31"/>
      <c r="M164" s="22"/>
      <c r="N164" s="17"/>
      <c r="O164" s="22"/>
      <c r="P164" s="17"/>
      <c r="Q164" s="17"/>
      <c r="R164" s="17"/>
      <c r="S164" s="17"/>
      <c r="T164" s="17"/>
      <c r="U164" s="17"/>
      <c r="V164" s="17"/>
      <c r="W164" s="17"/>
      <c r="X164" s="17"/>
      <c r="Y164" s="17"/>
    </row>
    <row r="165" spans="1:25" x14ac:dyDescent="0.3">
      <c r="A165" s="17"/>
      <c r="B165" s="17"/>
      <c r="C165" s="22"/>
      <c r="D165" s="22"/>
      <c r="E165" s="17"/>
      <c r="F165" s="22"/>
      <c r="G165" s="31"/>
      <c r="J165" s="23"/>
      <c r="K165" s="31"/>
      <c r="L165" s="31"/>
      <c r="M165" s="22"/>
      <c r="N165" s="17"/>
      <c r="O165" s="22"/>
      <c r="P165" s="17"/>
      <c r="Q165" s="17"/>
      <c r="R165" s="17"/>
      <c r="S165" s="17"/>
      <c r="T165" s="17"/>
      <c r="U165" s="17"/>
      <c r="V165" s="17"/>
      <c r="W165" s="17"/>
      <c r="X165" s="17"/>
      <c r="Y165" s="17"/>
    </row>
    <row r="166" spans="1:25" x14ac:dyDescent="0.3">
      <c r="A166" s="17"/>
      <c r="B166" s="17"/>
      <c r="C166" s="22"/>
      <c r="D166" s="22"/>
      <c r="E166" s="17"/>
      <c r="F166" s="22"/>
      <c r="G166" s="31"/>
      <c r="J166" s="23"/>
      <c r="K166" s="31"/>
      <c r="L166" s="31"/>
      <c r="M166" s="22"/>
      <c r="N166" s="17"/>
      <c r="O166" s="22"/>
      <c r="P166" s="17"/>
      <c r="Q166" s="17"/>
      <c r="R166" s="17"/>
      <c r="S166" s="17"/>
      <c r="T166" s="17"/>
      <c r="U166" s="17"/>
      <c r="V166" s="17"/>
      <c r="W166" s="17"/>
      <c r="X166" s="17"/>
      <c r="Y166" s="17"/>
    </row>
    <row r="167" spans="1:25" x14ac:dyDescent="0.3">
      <c r="A167" s="17"/>
      <c r="B167" s="17"/>
      <c r="C167" s="22"/>
      <c r="D167" s="22"/>
      <c r="E167" s="17"/>
      <c r="F167" s="22"/>
      <c r="G167" s="31"/>
      <c r="J167" s="23"/>
      <c r="K167" s="31"/>
      <c r="L167" s="31"/>
      <c r="M167" s="22"/>
      <c r="N167" s="17"/>
      <c r="O167" s="22"/>
      <c r="P167" s="17"/>
      <c r="Q167" s="17"/>
      <c r="R167" s="17"/>
      <c r="S167" s="17"/>
      <c r="T167" s="17"/>
      <c r="U167" s="17"/>
      <c r="V167" s="17"/>
      <c r="W167" s="17"/>
      <c r="X167" s="17"/>
      <c r="Y167" s="17"/>
    </row>
    <row r="168" spans="1:25" x14ac:dyDescent="0.3">
      <c r="A168" s="17"/>
      <c r="B168" s="17"/>
      <c r="C168" s="22"/>
      <c r="D168" s="22"/>
      <c r="E168" s="17"/>
      <c r="F168" s="22"/>
      <c r="G168" s="31"/>
      <c r="J168" s="23"/>
      <c r="K168" s="31"/>
      <c r="L168" s="31"/>
      <c r="M168" s="22"/>
      <c r="N168" s="17"/>
      <c r="O168" s="22"/>
      <c r="P168" s="17"/>
      <c r="Q168" s="17"/>
      <c r="R168" s="17"/>
      <c r="S168" s="17"/>
      <c r="T168" s="17"/>
      <c r="U168" s="17"/>
      <c r="V168" s="17"/>
      <c r="W168" s="17"/>
      <c r="X168" s="17"/>
      <c r="Y168" s="17"/>
    </row>
    <row r="169" spans="1:25" x14ac:dyDescent="0.3">
      <c r="A169" s="17"/>
      <c r="B169" s="17"/>
      <c r="C169" s="22"/>
      <c r="D169" s="22"/>
      <c r="E169" s="17"/>
      <c r="F169" s="22"/>
      <c r="G169" s="31"/>
      <c r="J169" s="23"/>
      <c r="K169" s="31"/>
      <c r="L169" s="31"/>
      <c r="M169" s="22"/>
      <c r="N169" s="17"/>
      <c r="O169" s="22"/>
      <c r="P169" s="17"/>
      <c r="Q169" s="17"/>
      <c r="R169" s="17"/>
      <c r="S169" s="17"/>
      <c r="T169" s="17"/>
      <c r="U169" s="17"/>
      <c r="V169" s="17"/>
      <c r="W169" s="17"/>
      <c r="X169" s="17"/>
      <c r="Y169" s="17"/>
    </row>
    <row r="170" spans="1:25" x14ac:dyDescent="0.3">
      <c r="A170" s="17"/>
      <c r="B170" s="17"/>
      <c r="C170" s="22"/>
      <c r="D170" s="22"/>
      <c r="E170" s="17"/>
      <c r="F170" s="22"/>
      <c r="G170" s="31"/>
      <c r="J170" s="23"/>
      <c r="K170" s="31"/>
      <c r="L170" s="31"/>
      <c r="M170" s="22"/>
      <c r="N170" s="17"/>
      <c r="O170" s="22"/>
      <c r="P170" s="17"/>
      <c r="Q170" s="17"/>
      <c r="R170" s="17"/>
      <c r="S170" s="17"/>
      <c r="T170" s="17"/>
      <c r="U170" s="17"/>
      <c r="V170" s="17"/>
      <c r="W170" s="17"/>
      <c r="X170" s="17"/>
      <c r="Y170" s="17"/>
    </row>
    <row r="171" spans="1:25" x14ac:dyDescent="0.3">
      <c r="A171" s="17"/>
      <c r="B171" s="17"/>
      <c r="C171" s="22"/>
      <c r="D171" s="22"/>
      <c r="E171" s="17"/>
      <c r="F171" s="22"/>
      <c r="G171" s="31"/>
      <c r="J171" s="23"/>
      <c r="K171" s="31"/>
      <c r="L171" s="31"/>
      <c r="M171" s="22"/>
      <c r="N171" s="17"/>
      <c r="O171" s="22"/>
      <c r="P171" s="17"/>
      <c r="Q171" s="17"/>
      <c r="R171" s="17"/>
      <c r="S171" s="17"/>
      <c r="T171" s="17"/>
      <c r="U171" s="17"/>
      <c r="V171" s="17"/>
      <c r="W171" s="17"/>
      <c r="X171" s="17"/>
      <c r="Y171" s="17"/>
    </row>
    <row r="172" spans="1:25" x14ac:dyDescent="0.3">
      <c r="A172" s="17"/>
      <c r="B172" s="17"/>
      <c r="C172" s="22"/>
      <c r="D172" s="22"/>
      <c r="E172" s="17"/>
      <c r="F172" s="22"/>
      <c r="G172" s="31"/>
      <c r="J172" s="23"/>
      <c r="K172" s="31"/>
      <c r="L172" s="31"/>
      <c r="M172" s="22"/>
      <c r="N172" s="17"/>
      <c r="O172" s="22"/>
      <c r="P172" s="17"/>
      <c r="Q172" s="17"/>
      <c r="R172" s="17"/>
      <c r="S172" s="17"/>
      <c r="T172" s="17"/>
      <c r="U172" s="17"/>
      <c r="V172" s="17"/>
      <c r="W172" s="17"/>
      <c r="X172" s="17"/>
      <c r="Y172" s="17"/>
    </row>
    <row r="173" spans="1:25" x14ac:dyDescent="0.3">
      <c r="A173" s="17"/>
      <c r="B173" s="17"/>
      <c r="C173" s="22"/>
      <c r="D173" s="22"/>
      <c r="E173" s="17"/>
      <c r="F173" s="22"/>
      <c r="G173" s="31"/>
      <c r="J173" s="23"/>
      <c r="K173" s="31"/>
      <c r="L173" s="31"/>
      <c r="M173" s="22"/>
      <c r="N173" s="17"/>
      <c r="O173" s="22"/>
      <c r="P173" s="17"/>
      <c r="Q173" s="17"/>
      <c r="R173" s="17"/>
      <c r="S173" s="17"/>
      <c r="T173" s="17"/>
      <c r="U173" s="17"/>
      <c r="V173" s="17"/>
      <c r="W173" s="17"/>
      <c r="X173" s="17"/>
      <c r="Y173" s="17"/>
    </row>
    <row r="174" spans="1:25" x14ac:dyDescent="0.3">
      <c r="A174" s="17"/>
      <c r="B174" s="17"/>
      <c r="C174" s="22"/>
      <c r="D174" s="22"/>
      <c r="E174" s="17"/>
      <c r="F174" s="22"/>
      <c r="G174" s="31"/>
      <c r="J174" s="23"/>
      <c r="K174" s="31"/>
      <c r="L174" s="31"/>
      <c r="M174" s="22"/>
      <c r="N174" s="17"/>
      <c r="O174" s="22"/>
      <c r="P174" s="17"/>
      <c r="Q174" s="17"/>
      <c r="R174" s="17"/>
      <c r="S174" s="17"/>
      <c r="T174" s="17"/>
      <c r="U174" s="17"/>
      <c r="V174" s="17"/>
      <c r="W174" s="17"/>
      <c r="X174" s="17"/>
      <c r="Y174" s="17"/>
    </row>
    <row r="175" spans="1:25" x14ac:dyDescent="0.3">
      <c r="A175" s="17"/>
      <c r="B175" s="17"/>
      <c r="C175" s="22"/>
      <c r="D175" s="22"/>
      <c r="E175" s="17"/>
      <c r="F175" s="22"/>
      <c r="G175" s="31"/>
      <c r="J175" s="23"/>
      <c r="K175" s="31"/>
      <c r="L175" s="31"/>
      <c r="M175" s="22"/>
      <c r="N175" s="17"/>
      <c r="O175" s="22"/>
      <c r="P175" s="17"/>
      <c r="Q175" s="17"/>
      <c r="R175" s="17"/>
      <c r="S175" s="17"/>
      <c r="T175" s="17"/>
      <c r="U175" s="17"/>
      <c r="V175" s="17"/>
      <c r="W175" s="17"/>
      <c r="X175" s="17"/>
      <c r="Y175" s="17"/>
    </row>
    <row r="176" spans="1:25" x14ac:dyDescent="0.3">
      <c r="A176" s="17"/>
      <c r="B176" s="17"/>
      <c r="C176" s="22"/>
      <c r="D176" s="22"/>
      <c r="E176" s="17"/>
      <c r="F176" s="22"/>
      <c r="G176" s="31"/>
      <c r="J176" s="23"/>
      <c r="K176" s="31"/>
      <c r="L176" s="31"/>
      <c r="M176" s="22"/>
      <c r="N176" s="17"/>
      <c r="O176" s="22"/>
      <c r="P176" s="17"/>
      <c r="Q176" s="17"/>
      <c r="R176" s="17"/>
      <c r="S176" s="17"/>
      <c r="T176" s="17"/>
      <c r="U176" s="17"/>
      <c r="V176" s="17"/>
      <c r="W176" s="17"/>
      <c r="X176" s="17"/>
      <c r="Y176" s="17"/>
    </row>
    <row r="177" spans="1:25" x14ac:dyDescent="0.3">
      <c r="A177" s="17"/>
      <c r="B177" s="17"/>
      <c r="C177" s="22"/>
      <c r="D177" s="22"/>
      <c r="E177" s="17"/>
      <c r="F177" s="22"/>
      <c r="G177" s="31"/>
      <c r="J177" s="23"/>
      <c r="K177" s="31"/>
      <c r="L177" s="31"/>
      <c r="M177" s="22"/>
      <c r="N177" s="17"/>
      <c r="O177" s="22"/>
      <c r="P177" s="17"/>
      <c r="Q177" s="17"/>
      <c r="R177" s="17"/>
      <c r="S177" s="17"/>
      <c r="T177" s="17"/>
      <c r="U177" s="17"/>
      <c r="V177" s="17"/>
      <c r="W177" s="17"/>
      <c r="X177" s="17"/>
      <c r="Y177" s="17"/>
    </row>
    <row r="178" spans="1:25" x14ac:dyDescent="0.3">
      <c r="A178" s="17"/>
      <c r="B178" s="17"/>
      <c r="C178" s="22"/>
      <c r="D178" s="22"/>
      <c r="E178" s="17"/>
      <c r="F178" s="22"/>
      <c r="G178" s="31"/>
      <c r="J178" s="23"/>
      <c r="K178" s="31"/>
      <c r="L178" s="31"/>
      <c r="M178" s="22"/>
      <c r="N178" s="17"/>
      <c r="O178" s="22"/>
      <c r="P178" s="17"/>
      <c r="Q178" s="17"/>
      <c r="R178" s="17"/>
      <c r="S178" s="17"/>
      <c r="T178" s="17"/>
      <c r="U178" s="17"/>
      <c r="V178" s="17"/>
      <c r="W178" s="17"/>
      <c r="X178" s="17"/>
      <c r="Y178" s="17"/>
    </row>
    <row r="179" spans="1:25" x14ac:dyDescent="0.3">
      <c r="A179" s="17"/>
      <c r="B179" s="17"/>
      <c r="C179" s="22"/>
      <c r="D179" s="22"/>
      <c r="E179" s="17"/>
      <c r="F179" s="22"/>
      <c r="G179" s="31"/>
      <c r="J179" s="23"/>
      <c r="K179" s="31"/>
      <c r="L179" s="31"/>
      <c r="M179" s="22"/>
      <c r="N179" s="17"/>
      <c r="O179" s="22"/>
      <c r="P179" s="17"/>
      <c r="Q179" s="17"/>
      <c r="R179" s="17"/>
      <c r="S179" s="17"/>
      <c r="T179" s="17"/>
      <c r="U179" s="17"/>
      <c r="V179" s="17"/>
      <c r="W179" s="17"/>
      <c r="X179" s="17"/>
      <c r="Y179" s="17"/>
    </row>
    <row r="180" spans="1:25" x14ac:dyDescent="0.3">
      <c r="A180" s="17"/>
      <c r="B180" s="17"/>
      <c r="C180" s="22"/>
      <c r="D180" s="22"/>
      <c r="E180" s="17"/>
      <c r="F180" s="22"/>
      <c r="G180" s="31"/>
      <c r="J180" s="23"/>
      <c r="K180" s="31"/>
      <c r="L180" s="31"/>
      <c r="M180" s="22"/>
      <c r="N180" s="17"/>
      <c r="O180" s="22"/>
      <c r="P180" s="17"/>
      <c r="Q180" s="17"/>
      <c r="R180" s="17"/>
      <c r="S180" s="17"/>
      <c r="T180" s="17"/>
      <c r="U180" s="17"/>
      <c r="V180" s="17"/>
      <c r="W180" s="17"/>
      <c r="X180" s="17"/>
      <c r="Y180" s="17"/>
    </row>
    <row r="181" spans="1:25" x14ac:dyDescent="0.3">
      <c r="A181" s="17"/>
      <c r="B181" s="17"/>
      <c r="C181" s="22"/>
      <c r="D181" s="22"/>
      <c r="E181" s="17"/>
      <c r="F181" s="22"/>
      <c r="G181" s="31"/>
      <c r="J181" s="23"/>
      <c r="K181" s="31"/>
      <c r="L181" s="31"/>
      <c r="M181" s="22"/>
      <c r="N181" s="17"/>
      <c r="O181" s="22"/>
      <c r="P181" s="17"/>
      <c r="Q181" s="17"/>
      <c r="R181" s="17"/>
      <c r="S181" s="17"/>
      <c r="T181" s="17"/>
      <c r="U181" s="17"/>
      <c r="V181" s="17"/>
      <c r="W181" s="17"/>
      <c r="X181" s="17"/>
      <c r="Y181" s="17"/>
    </row>
    <row r="182" spans="1:25" x14ac:dyDescent="0.3">
      <c r="A182" s="17"/>
      <c r="B182" s="17"/>
      <c r="C182" s="22"/>
      <c r="D182" s="22"/>
      <c r="E182" s="17"/>
      <c r="F182" s="22"/>
      <c r="G182" s="31"/>
      <c r="J182" s="23"/>
      <c r="K182" s="31"/>
      <c r="L182" s="31"/>
      <c r="M182" s="22"/>
      <c r="N182" s="17"/>
      <c r="O182" s="22"/>
      <c r="P182" s="17"/>
      <c r="Q182" s="17"/>
      <c r="R182" s="17"/>
      <c r="S182" s="17"/>
      <c r="T182" s="17"/>
      <c r="U182" s="17"/>
      <c r="V182" s="17"/>
      <c r="W182" s="17"/>
      <c r="X182" s="17"/>
      <c r="Y182" s="17"/>
    </row>
    <row r="183" spans="1:25" x14ac:dyDescent="0.3">
      <c r="A183" s="17"/>
      <c r="B183" s="17"/>
      <c r="C183" s="22"/>
      <c r="D183" s="22"/>
      <c r="E183" s="17"/>
      <c r="F183" s="22"/>
      <c r="G183" s="31"/>
      <c r="J183" s="23"/>
      <c r="K183" s="31"/>
      <c r="L183" s="31"/>
      <c r="M183" s="22"/>
      <c r="N183" s="17"/>
      <c r="O183" s="22"/>
      <c r="P183" s="17"/>
      <c r="Q183" s="17"/>
      <c r="R183" s="17"/>
      <c r="S183" s="17"/>
      <c r="T183" s="17"/>
      <c r="U183" s="17"/>
      <c r="V183" s="17"/>
      <c r="W183" s="17"/>
      <c r="X183" s="17"/>
      <c r="Y183" s="17"/>
    </row>
    <row r="184" spans="1:25" x14ac:dyDescent="0.3">
      <c r="A184" s="17"/>
      <c r="B184" s="17"/>
      <c r="C184" s="22"/>
      <c r="D184" s="22"/>
      <c r="E184" s="17"/>
      <c r="F184" s="22"/>
      <c r="G184" s="31"/>
      <c r="J184" s="23"/>
      <c r="K184" s="31"/>
      <c r="L184" s="31"/>
      <c r="M184" s="22"/>
      <c r="N184" s="17"/>
      <c r="O184" s="22"/>
      <c r="P184" s="17"/>
      <c r="Q184" s="17"/>
      <c r="R184" s="17"/>
      <c r="S184" s="17"/>
      <c r="T184" s="17"/>
      <c r="U184" s="17"/>
      <c r="V184" s="17"/>
      <c r="W184" s="17"/>
      <c r="X184" s="17"/>
      <c r="Y184" s="17"/>
    </row>
    <row r="185" spans="1:25" x14ac:dyDescent="0.3">
      <c r="A185" s="17"/>
      <c r="B185" s="17"/>
      <c r="C185" s="22"/>
      <c r="D185" s="22"/>
      <c r="E185" s="17"/>
      <c r="F185" s="22"/>
      <c r="G185" s="31"/>
      <c r="J185" s="23"/>
      <c r="K185" s="31"/>
      <c r="L185" s="31"/>
      <c r="M185" s="22"/>
      <c r="N185" s="17"/>
      <c r="O185" s="22"/>
      <c r="P185" s="17"/>
      <c r="Q185" s="17"/>
      <c r="R185" s="17"/>
      <c r="S185" s="17"/>
      <c r="T185" s="17"/>
      <c r="U185" s="17"/>
      <c r="V185" s="17"/>
      <c r="W185" s="17"/>
      <c r="X185" s="17"/>
      <c r="Y185" s="17"/>
    </row>
    <row r="186" spans="1:25" x14ac:dyDescent="0.3">
      <c r="A186" s="17"/>
      <c r="B186" s="17"/>
      <c r="C186" s="22"/>
      <c r="D186" s="22"/>
      <c r="E186" s="17"/>
      <c r="F186" s="22"/>
      <c r="G186" s="31"/>
      <c r="J186" s="23"/>
      <c r="K186" s="31"/>
      <c r="L186" s="31"/>
      <c r="M186" s="22"/>
      <c r="N186" s="17"/>
      <c r="O186" s="22"/>
      <c r="P186" s="17"/>
      <c r="Q186" s="17"/>
      <c r="R186" s="17"/>
      <c r="S186" s="17"/>
      <c r="T186" s="17"/>
      <c r="U186" s="17"/>
      <c r="V186" s="17"/>
      <c r="W186" s="17"/>
      <c r="X186" s="17"/>
      <c r="Y186" s="17"/>
    </row>
    <row r="187" spans="1:25" x14ac:dyDescent="0.3">
      <c r="A187" s="17"/>
      <c r="B187" s="17"/>
      <c r="C187" s="22"/>
      <c r="D187" s="22"/>
      <c r="E187" s="17"/>
      <c r="F187" s="22"/>
      <c r="G187" s="31"/>
      <c r="J187" s="23"/>
      <c r="K187" s="31"/>
      <c r="L187" s="31"/>
      <c r="M187" s="22"/>
      <c r="N187" s="17"/>
      <c r="O187" s="22"/>
      <c r="P187" s="17"/>
      <c r="Q187" s="17"/>
      <c r="R187" s="17"/>
      <c r="S187" s="17"/>
      <c r="T187" s="17"/>
      <c r="U187" s="17"/>
      <c r="V187" s="17"/>
      <c r="W187" s="17"/>
      <c r="X187" s="17"/>
      <c r="Y187" s="17"/>
    </row>
    <row r="188" spans="1:25" x14ac:dyDescent="0.3">
      <c r="A188" s="17"/>
      <c r="B188" s="17"/>
      <c r="C188" s="22"/>
      <c r="D188" s="22"/>
      <c r="E188" s="17"/>
      <c r="F188" s="22"/>
      <c r="G188" s="31"/>
      <c r="J188" s="23"/>
      <c r="K188" s="31"/>
      <c r="L188" s="31"/>
      <c r="M188" s="22"/>
      <c r="N188" s="17"/>
      <c r="O188" s="22"/>
      <c r="P188" s="17"/>
      <c r="Q188" s="17"/>
      <c r="R188" s="17"/>
      <c r="S188" s="17"/>
      <c r="T188" s="17"/>
      <c r="U188" s="17"/>
      <c r="V188" s="17"/>
      <c r="W188" s="17"/>
      <c r="X188" s="17"/>
      <c r="Y188" s="17"/>
    </row>
    <row r="189" spans="1:25" x14ac:dyDescent="0.3">
      <c r="A189" s="17"/>
      <c r="B189" s="17"/>
      <c r="C189" s="22"/>
      <c r="D189" s="22"/>
      <c r="E189" s="17"/>
      <c r="F189" s="22"/>
      <c r="G189" s="31"/>
      <c r="J189" s="23"/>
      <c r="K189" s="31"/>
      <c r="L189" s="31"/>
      <c r="M189" s="22"/>
      <c r="N189" s="17"/>
      <c r="O189" s="22"/>
      <c r="P189" s="17"/>
      <c r="Q189" s="17"/>
      <c r="R189" s="17"/>
      <c r="S189" s="17"/>
      <c r="T189" s="17"/>
      <c r="U189" s="17"/>
      <c r="V189" s="17"/>
      <c r="W189" s="17"/>
      <c r="X189" s="17"/>
      <c r="Y189" s="17"/>
    </row>
    <row r="190" spans="1:25" x14ac:dyDescent="0.3">
      <c r="A190" s="17"/>
      <c r="B190" s="17"/>
      <c r="C190" s="22"/>
      <c r="D190" s="22"/>
      <c r="E190" s="17"/>
      <c r="F190" s="22"/>
      <c r="G190" s="31"/>
      <c r="J190" s="23"/>
      <c r="K190" s="31"/>
      <c r="L190" s="31"/>
      <c r="M190" s="22"/>
      <c r="N190" s="17"/>
      <c r="O190" s="22"/>
      <c r="P190" s="17"/>
      <c r="Q190" s="17"/>
      <c r="R190" s="17"/>
      <c r="S190" s="17"/>
      <c r="T190" s="17"/>
      <c r="U190" s="17"/>
      <c r="V190" s="17"/>
      <c r="W190" s="17"/>
      <c r="X190" s="17"/>
      <c r="Y190" s="17"/>
    </row>
    <row r="191" spans="1:25" x14ac:dyDescent="0.3">
      <c r="A191" s="17"/>
      <c r="B191" s="17"/>
      <c r="C191" s="22"/>
      <c r="D191" s="22"/>
      <c r="E191" s="17"/>
      <c r="F191" s="22"/>
      <c r="G191" s="31"/>
      <c r="J191" s="23"/>
      <c r="K191" s="31"/>
      <c r="L191" s="31"/>
      <c r="M191" s="22"/>
      <c r="N191" s="17"/>
      <c r="O191" s="22"/>
      <c r="P191" s="17"/>
      <c r="Q191" s="17"/>
      <c r="R191" s="17"/>
      <c r="S191" s="17"/>
      <c r="T191" s="17"/>
      <c r="U191" s="17"/>
      <c r="V191" s="17"/>
      <c r="W191" s="17"/>
      <c r="X191" s="17"/>
      <c r="Y191" s="17"/>
    </row>
    <row r="192" spans="1:25" x14ac:dyDescent="0.3">
      <c r="A192" s="17"/>
      <c r="B192" s="17"/>
      <c r="C192" s="22"/>
      <c r="D192" s="22"/>
      <c r="E192" s="17"/>
      <c r="F192" s="22"/>
      <c r="G192" s="31"/>
      <c r="J192" s="23"/>
      <c r="K192" s="31"/>
      <c r="L192" s="31"/>
      <c r="M192" s="22"/>
      <c r="N192" s="17"/>
      <c r="O192" s="22"/>
      <c r="P192" s="17"/>
      <c r="Q192" s="17"/>
      <c r="R192" s="17"/>
      <c r="S192" s="17"/>
      <c r="T192" s="17"/>
      <c r="U192" s="17"/>
      <c r="V192" s="17"/>
      <c r="W192" s="17"/>
      <c r="X192" s="17"/>
      <c r="Y192" s="17"/>
    </row>
    <row r="193" spans="1:25" x14ac:dyDescent="0.3">
      <c r="A193" s="17"/>
      <c r="B193" s="17"/>
      <c r="C193" s="22"/>
      <c r="D193" s="22"/>
      <c r="E193" s="17"/>
      <c r="F193" s="22"/>
      <c r="G193" s="31"/>
      <c r="J193" s="23"/>
      <c r="K193" s="31"/>
      <c r="L193" s="31"/>
      <c r="M193" s="22"/>
      <c r="N193" s="17"/>
      <c r="O193" s="22"/>
      <c r="P193" s="17"/>
      <c r="Q193" s="17"/>
      <c r="R193" s="17"/>
      <c r="S193" s="17"/>
      <c r="T193" s="17"/>
      <c r="U193" s="17"/>
      <c r="V193" s="17"/>
      <c r="W193" s="17"/>
      <c r="X193" s="17"/>
      <c r="Y193" s="17"/>
    </row>
    <row r="194" spans="1:25" x14ac:dyDescent="0.3">
      <c r="A194" s="17"/>
      <c r="B194" s="17"/>
      <c r="C194" s="22"/>
      <c r="D194" s="22"/>
      <c r="E194" s="17"/>
      <c r="F194" s="22"/>
      <c r="G194" s="31"/>
      <c r="J194" s="23"/>
      <c r="K194" s="31"/>
      <c r="L194" s="31"/>
      <c r="M194" s="22"/>
      <c r="N194" s="17"/>
      <c r="O194" s="22"/>
      <c r="P194" s="17"/>
      <c r="Q194" s="17"/>
      <c r="R194" s="17"/>
      <c r="S194" s="17"/>
      <c r="T194" s="17"/>
      <c r="U194" s="17"/>
      <c r="V194" s="17"/>
      <c r="W194" s="17"/>
      <c r="X194" s="17"/>
      <c r="Y194" s="17"/>
    </row>
    <row r="195" spans="1:25" x14ac:dyDescent="0.3">
      <c r="A195" s="17"/>
      <c r="B195" s="17"/>
      <c r="C195" s="22"/>
      <c r="D195" s="22"/>
      <c r="E195" s="17"/>
      <c r="F195" s="22"/>
      <c r="G195" s="31"/>
      <c r="J195" s="23"/>
      <c r="K195" s="31"/>
      <c r="L195" s="31"/>
      <c r="M195" s="22"/>
      <c r="N195" s="17"/>
      <c r="O195" s="22"/>
      <c r="P195" s="17"/>
      <c r="Q195" s="17"/>
      <c r="R195" s="17"/>
      <c r="S195" s="17"/>
      <c r="T195" s="17"/>
      <c r="U195" s="17"/>
      <c r="V195" s="17"/>
      <c r="W195" s="17"/>
      <c r="X195" s="17"/>
      <c r="Y195" s="17"/>
    </row>
    <row r="196" spans="1:25" x14ac:dyDescent="0.3">
      <c r="A196" s="17"/>
      <c r="B196" s="17"/>
      <c r="C196" s="22"/>
      <c r="D196" s="22"/>
      <c r="E196" s="17"/>
      <c r="F196" s="22"/>
      <c r="G196" s="31"/>
      <c r="J196" s="23"/>
      <c r="K196" s="31"/>
      <c r="L196" s="31"/>
      <c r="M196" s="22"/>
      <c r="N196" s="17"/>
      <c r="O196" s="22"/>
      <c r="P196" s="17"/>
      <c r="Q196" s="17"/>
      <c r="R196" s="17"/>
      <c r="S196" s="17"/>
      <c r="T196" s="17"/>
      <c r="U196" s="17"/>
      <c r="V196" s="17"/>
      <c r="W196" s="17"/>
      <c r="X196" s="17"/>
      <c r="Y196" s="17"/>
    </row>
    <row r="197" spans="1:25" x14ac:dyDescent="0.3">
      <c r="A197" s="17"/>
      <c r="B197" s="17"/>
      <c r="C197" s="22"/>
      <c r="D197" s="22"/>
      <c r="E197" s="17"/>
      <c r="F197" s="22"/>
      <c r="G197" s="31"/>
      <c r="J197" s="23"/>
      <c r="K197" s="31"/>
      <c r="L197" s="31"/>
      <c r="M197" s="22"/>
      <c r="N197" s="17"/>
      <c r="O197" s="22"/>
      <c r="P197" s="17"/>
      <c r="Q197" s="17"/>
      <c r="R197" s="17"/>
      <c r="S197" s="17"/>
      <c r="T197" s="17"/>
      <c r="U197" s="17"/>
      <c r="V197" s="17"/>
      <c r="W197" s="17"/>
      <c r="X197" s="17"/>
      <c r="Y197" s="17"/>
    </row>
  </sheetData>
  <autoFilter ref="A1:T158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8"/>
  <sheetViews>
    <sheetView showGridLines="0" topLeftCell="A67" zoomScale="90" zoomScaleNormal="90" workbookViewId="0">
      <selection activeCell="K97" sqref="K97"/>
    </sheetView>
  </sheetViews>
  <sheetFormatPr baseColWidth="10" defaultRowHeight="14.4" x14ac:dyDescent="0.3"/>
  <cols>
    <col min="9" max="9" width="8.33203125" customWidth="1"/>
  </cols>
  <sheetData>
    <row r="1" spans="1:9" x14ac:dyDescent="0.3">
      <c r="A1" s="83"/>
      <c r="B1" s="83"/>
      <c r="C1" s="83"/>
      <c r="D1" s="83"/>
      <c r="E1" s="83"/>
      <c r="F1" s="83"/>
      <c r="G1" s="83"/>
      <c r="H1" s="83"/>
      <c r="I1" s="83"/>
    </row>
    <row r="2" spans="1:9" x14ac:dyDescent="0.3">
      <c r="A2" s="83"/>
      <c r="B2" s="83"/>
      <c r="C2" s="83"/>
      <c r="D2" s="83"/>
      <c r="E2" s="83"/>
      <c r="F2" s="83"/>
      <c r="G2" s="83"/>
      <c r="H2" s="83"/>
      <c r="I2" s="83"/>
    </row>
    <row r="3" spans="1:9" x14ac:dyDescent="0.3">
      <c r="A3" s="83"/>
      <c r="B3" s="83"/>
      <c r="C3" s="83"/>
      <c r="D3" s="83"/>
      <c r="E3" s="83"/>
      <c r="F3" s="83"/>
      <c r="G3" s="83"/>
      <c r="H3" s="83"/>
      <c r="I3" s="83"/>
    </row>
    <row r="4" spans="1:9" x14ac:dyDescent="0.3">
      <c r="A4" s="83"/>
      <c r="B4" s="83"/>
      <c r="C4" s="83"/>
      <c r="D4" s="83"/>
      <c r="E4" s="83"/>
      <c r="F4" s="83"/>
      <c r="G4" s="83"/>
      <c r="H4" s="83"/>
      <c r="I4" s="83"/>
    </row>
    <row r="5" spans="1:9" x14ac:dyDescent="0.3">
      <c r="A5" s="83"/>
      <c r="B5" s="83"/>
      <c r="C5" s="83"/>
      <c r="D5" s="83"/>
      <c r="E5" s="83"/>
      <c r="F5" s="83"/>
      <c r="G5" s="83"/>
      <c r="H5" s="83"/>
      <c r="I5" s="83"/>
    </row>
    <row r="6" spans="1:9" x14ac:dyDescent="0.3">
      <c r="A6" s="83"/>
      <c r="B6" s="83"/>
      <c r="C6" s="83"/>
      <c r="D6" s="83"/>
      <c r="E6" s="83"/>
      <c r="F6" s="83"/>
      <c r="G6" s="83"/>
      <c r="H6" s="83"/>
      <c r="I6" s="83"/>
    </row>
    <row r="7" spans="1:9" x14ac:dyDescent="0.3">
      <c r="A7" s="83"/>
      <c r="B7" s="83"/>
      <c r="C7" s="83"/>
      <c r="D7" s="83"/>
      <c r="E7" s="83"/>
      <c r="F7" s="83"/>
      <c r="G7" s="83"/>
      <c r="H7" s="83"/>
      <c r="I7" s="83"/>
    </row>
    <row r="8" spans="1:9" x14ac:dyDescent="0.3">
      <c r="A8" s="83"/>
      <c r="B8" s="83"/>
      <c r="C8" s="83"/>
      <c r="D8" s="83"/>
      <c r="E8" s="83"/>
      <c r="F8" s="83"/>
      <c r="G8" s="83"/>
      <c r="H8" s="83"/>
      <c r="I8" s="83"/>
    </row>
    <row r="9" spans="1:9" x14ac:dyDescent="0.3">
      <c r="A9" s="83"/>
      <c r="B9" s="83"/>
      <c r="C9" s="83"/>
      <c r="D9" s="83"/>
      <c r="E9" s="83"/>
      <c r="F9" s="83"/>
      <c r="G9" s="83"/>
      <c r="H9" s="83"/>
      <c r="I9" s="83"/>
    </row>
    <row r="10" spans="1:9" x14ac:dyDescent="0.3">
      <c r="A10" s="83"/>
      <c r="B10" s="83"/>
      <c r="C10" s="83"/>
      <c r="D10" s="83"/>
      <c r="E10" s="83"/>
      <c r="F10" s="83"/>
      <c r="G10" s="83"/>
      <c r="H10" s="83"/>
      <c r="I10" s="83"/>
    </row>
    <row r="11" spans="1:9" x14ac:dyDescent="0.3">
      <c r="A11" s="83"/>
      <c r="B11" s="83"/>
      <c r="C11" s="83"/>
      <c r="D11" s="83"/>
      <c r="E11" s="83"/>
      <c r="F11" s="83"/>
      <c r="G11" s="83"/>
      <c r="H11" s="83"/>
      <c r="I11" s="83"/>
    </row>
    <row r="12" spans="1:9" x14ac:dyDescent="0.3">
      <c r="A12" s="83"/>
      <c r="B12" s="83"/>
      <c r="C12" s="83"/>
      <c r="D12" s="83"/>
      <c r="E12" s="83"/>
      <c r="F12" s="83"/>
      <c r="G12" s="83"/>
      <c r="H12" s="83"/>
      <c r="I12" s="83"/>
    </row>
    <row r="13" spans="1:9" x14ac:dyDescent="0.3">
      <c r="A13" s="83"/>
      <c r="B13" s="83"/>
      <c r="C13" s="83"/>
      <c r="D13" s="83"/>
      <c r="E13" s="83"/>
      <c r="F13" s="83"/>
      <c r="G13" s="83"/>
      <c r="H13" s="83"/>
      <c r="I13" s="83"/>
    </row>
    <row r="14" spans="1:9" x14ac:dyDescent="0.3">
      <c r="A14" s="83"/>
      <c r="B14" s="83"/>
      <c r="C14" s="83"/>
      <c r="D14" s="83"/>
      <c r="E14" s="83"/>
      <c r="F14" s="83"/>
      <c r="G14" s="83"/>
      <c r="H14" s="83"/>
      <c r="I14" s="83"/>
    </row>
    <row r="15" spans="1:9" x14ac:dyDescent="0.3">
      <c r="A15" s="83"/>
      <c r="B15" s="83"/>
      <c r="C15" s="83"/>
      <c r="D15" s="83"/>
      <c r="E15" s="83"/>
      <c r="F15" s="83"/>
      <c r="G15" s="83"/>
      <c r="H15" s="83"/>
      <c r="I15" s="83"/>
    </row>
    <row r="16" spans="1:9" x14ac:dyDescent="0.3">
      <c r="A16" s="83"/>
      <c r="B16" s="83"/>
      <c r="C16" s="83"/>
      <c r="D16" s="83"/>
      <c r="E16" s="83"/>
      <c r="F16" s="83"/>
      <c r="G16" s="83"/>
      <c r="H16" s="83"/>
      <c r="I16" s="83"/>
    </row>
    <row r="17" spans="1:9" x14ac:dyDescent="0.3">
      <c r="A17" s="83"/>
      <c r="B17" s="83"/>
      <c r="C17" s="83"/>
      <c r="D17" s="83"/>
      <c r="E17" s="83"/>
      <c r="F17" s="83"/>
      <c r="G17" s="83"/>
      <c r="H17" s="83"/>
      <c r="I17" s="83"/>
    </row>
    <row r="18" spans="1:9" x14ac:dyDescent="0.3">
      <c r="A18" s="83"/>
      <c r="B18" s="83"/>
      <c r="C18" s="83"/>
      <c r="D18" s="83"/>
      <c r="E18" s="83"/>
      <c r="F18" s="83"/>
      <c r="G18" s="83"/>
      <c r="H18" s="83"/>
      <c r="I18" s="83"/>
    </row>
    <row r="19" spans="1:9" x14ac:dyDescent="0.3">
      <c r="A19" s="83"/>
      <c r="B19" s="83"/>
      <c r="C19" s="83"/>
      <c r="D19" s="83"/>
      <c r="E19" s="83"/>
      <c r="F19" s="83"/>
      <c r="G19" s="83"/>
      <c r="H19" s="83"/>
      <c r="I19" s="83"/>
    </row>
    <row r="20" spans="1:9" x14ac:dyDescent="0.3">
      <c r="A20" s="83"/>
      <c r="B20" s="83"/>
      <c r="C20" s="83"/>
      <c r="D20" s="83"/>
      <c r="E20" s="83"/>
      <c r="F20" s="83"/>
      <c r="G20" s="83"/>
      <c r="H20" s="83"/>
      <c r="I20" s="83"/>
    </row>
    <row r="21" spans="1:9" x14ac:dyDescent="0.3">
      <c r="A21" s="83"/>
      <c r="B21" s="83"/>
      <c r="C21" s="83"/>
      <c r="D21" s="83"/>
      <c r="E21" s="83"/>
      <c r="F21" s="83"/>
      <c r="G21" s="83"/>
      <c r="H21" s="83"/>
      <c r="I21" s="83"/>
    </row>
    <row r="22" spans="1:9" x14ac:dyDescent="0.3">
      <c r="A22" s="83"/>
      <c r="B22" s="83"/>
      <c r="C22" s="83"/>
      <c r="D22" s="83"/>
      <c r="E22" s="83"/>
      <c r="F22" s="83"/>
      <c r="G22" s="83"/>
      <c r="H22" s="83"/>
      <c r="I22" s="83"/>
    </row>
    <row r="23" spans="1:9" x14ac:dyDescent="0.3">
      <c r="A23" s="83"/>
      <c r="B23" s="83"/>
      <c r="C23" s="83"/>
      <c r="D23" s="83"/>
      <c r="E23" s="83"/>
      <c r="F23" s="83"/>
      <c r="G23" s="83"/>
      <c r="H23" s="83"/>
      <c r="I23" s="83"/>
    </row>
    <row r="24" spans="1:9" x14ac:dyDescent="0.3">
      <c r="A24" s="83"/>
      <c r="B24" s="83"/>
      <c r="C24" s="83"/>
      <c r="D24" s="83"/>
      <c r="E24" s="83"/>
      <c r="F24" s="83"/>
      <c r="G24" s="83"/>
      <c r="H24" s="83"/>
      <c r="I24" s="83"/>
    </row>
    <row r="25" spans="1:9" x14ac:dyDescent="0.3">
      <c r="A25" s="83"/>
      <c r="B25" s="83"/>
      <c r="C25" s="83"/>
      <c r="D25" s="83"/>
      <c r="E25" s="83"/>
      <c r="F25" s="83"/>
      <c r="G25" s="83"/>
      <c r="H25" s="83"/>
      <c r="I25" s="83"/>
    </row>
    <row r="26" spans="1:9" x14ac:dyDescent="0.3">
      <c r="A26" s="83"/>
      <c r="B26" s="83"/>
      <c r="C26" s="83"/>
      <c r="D26" s="83"/>
      <c r="E26" s="83"/>
      <c r="F26" s="83"/>
      <c r="G26" s="83"/>
      <c r="H26" s="83"/>
      <c r="I26" s="83"/>
    </row>
    <row r="27" spans="1:9" x14ac:dyDescent="0.3">
      <c r="A27" s="83"/>
      <c r="B27" s="83"/>
      <c r="C27" s="83"/>
      <c r="D27" s="83"/>
      <c r="E27" s="83"/>
      <c r="F27" s="83"/>
      <c r="G27" s="83"/>
      <c r="H27" s="83"/>
      <c r="I27" s="83"/>
    </row>
    <row r="28" spans="1:9" x14ac:dyDescent="0.3">
      <c r="A28" s="83"/>
      <c r="B28" s="83"/>
      <c r="C28" s="83"/>
      <c r="D28" s="83"/>
      <c r="E28" s="83"/>
      <c r="F28" s="83"/>
      <c r="G28" s="83"/>
      <c r="H28" s="83"/>
      <c r="I28" s="83"/>
    </row>
    <row r="29" spans="1:9" x14ac:dyDescent="0.3">
      <c r="A29" s="83"/>
      <c r="B29" s="83"/>
      <c r="C29" s="83"/>
      <c r="D29" s="83"/>
      <c r="E29" s="83"/>
      <c r="F29" s="83"/>
      <c r="G29" s="83"/>
      <c r="H29" s="83"/>
      <c r="I29" s="83"/>
    </row>
    <row r="30" spans="1:9" x14ac:dyDescent="0.3">
      <c r="A30" s="83"/>
      <c r="B30" s="83"/>
      <c r="C30" s="83"/>
      <c r="D30" s="83"/>
      <c r="E30" s="83"/>
      <c r="F30" s="83"/>
      <c r="G30" s="83"/>
      <c r="H30" s="83"/>
      <c r="I30" s="83"/>
    </row>
    <row r="31" spans="1:9" x14ac:dyDescent="0.3">
      <c r="A31" s="83"/>
      <c r="B31" s="83"/>
      <c r="C31" s="83"/>
      <c r="D31" s="83"/>
      <c r="E31" s="83"/>
      <c r="F31" s="83"/>
      <c r="G31" s="83"/>
      <c r="H31" s="83"/>
      <c r="I31" s="83"/>
    </row>
    <row r="32" spans="1:9" x14ac:dyDescent="0.3">
      <c r="A32" s="83"/>
      <c r="B32" s="83"/>
      <c r="C32" s="83"/>
      <c r="D32" s="83"/>
      <c r="E32" s="83"/>
      <c r="F32" s="83"/>
      <c r="G32" s="83"/>
      <c r="H32" s="83"/>
      <c r="I32" s="83"/>
    </row>
    <row r="33" spans="1:9" x14ac:dyDescent="0.3">
      <c r="A33" s="83"/>
      <c r="B33" s="83"/>
      <c r="C33" s="83"/>
      <c r="D33" s="83"/>
      <c r="E33" s="83"/>
      <c r="F33" s="83"/>
      <c r="G33" s="83"/>
      <c r="H33" s="83"/>
      <c r="I33" s="83"/>
    </row>
    <row r="34" spans="1:9" x14ac:dyDescent="0.3">
      <c r="A34" s="83"/>
      <c r="B34" s="83"/>
      <c r="C34" s="83"/>
      <c r="D34" s="83"/>
      <c r="E34" s="83"/>
      <c r="F34" s="83"/>
      <c r="G34" s="83"/>
      <c r="H34" s="83"/>
      <c r="I34" s="83"/>
    </row>
    <row r="35" spans="1:9" x14ac:dyDescent="0.3">
      <c r="A35" s="83"/>
      <c r="B35" s="83"/>
      <c r="C35" s="83"/>
      <c r="D35" s="83"/>
      <c r="E35" s="83"/>
      <c r="F35" s="83"/>
      <c r="G35" s="83"/>
      <c r="H35" s="83"/>
      <c r="I35" s="83"/>
    </row>
    <row r="36" spans="1:9" x14ac:dyDescent="0.3">
      <c r="A36" s="83"/>
      <c r="B36" s="83"/>
      <c r="C36" s="83"/>
      <c r="D36" s="83"/>
      <c r="E36" s="83"/>
      <c r="F36" s="83"/>
      <c r="G36" s="83"/>
      <c r="H36" s="83"/>
      <c r="I36" s="83"/>
    </row>
    <row r="37" spans="1:9" x14ac:dyDescent="0.3">
      <c r="A37" s="83"/>
      <c r="B37" s="83"/>
      <c r="C37" s="83"/>
      <c r="D37" s="83"/>
      <c r="E37" s="83"/>
      <c r="F37" s="83"/>
      <c r="G37" s="83"/>
      <c r="H37" s="83"/>
      <c r="I37" s="83"/>
    </row>
    <row r="38" spans="1:9" x14ac:dyDescent="0.3">
      <c r="A38" s="83"/>
      <c r="B38" s="83"/>
      <c r="C38" s="83"/>
      <c r="D38" s="83"/>
      <c r="E38" s="83"/>
      <c r="F38" s="83"/>
      <c r="G38" s="83"/>
      <c r="H38" s="83"/>
      <c r="I38" s="83"/>
    </row>
    <row r="39" spans="1:9" x14ac:dyDescent="0.3">
      <c r="A39" s="83"/>
      <c r="B39" s="83"/>
      <c r="C39" s="83"/>
      <c r="D39" s="83"/>
      <c r="E39" s="83"/>
      <c r="F39" s="83"/>
      <c r="G39" s="83"/>
      <c r="H39" s="83"/>
      <c r="I39" s="83"/>
    </row>
    <row r="40" spans="1:9" x14ac:dyDescent="0.3">
      <c r="A40" s="83"/>
      <c r="B40" s="83"/>
      <c r="C40" s="83"/>
      <c r="D40" s="83"/>
      <c r="E40" s="83"/>
      <c r="F40" s="83"/>
      <c r="G40" s="83"/>
      <c r="H40" s="83"/>
      <c r="I40" s="83"/>
    </row>
    <row r="41" spans="1:9" x14ac:dyDescent="0.3">
      <c r="A41" s="83"/>
      <c r="B41" s="83"/>
      <c r="C41" s="83"/>
      <c r="D41" s="83"/>
      <c r="E41" s="83"/>
      <c r="F41" s="83"/>
      <c r="G41" s="83"/>
      <c r="H41" s="83"/>
      <c r="I41" s="83"/>
    </row>
    <row r="42" spans="1:9" x14ac:dyDescent="0.3">
      <c r="A42" s="83"/>
      <c r="B42" s="83"/>
      <c r="C42" s="83"/>
      <c r="D42" s="83"/>
      <c r="E42" s="83"/>
      <c r="F42" s="83"/>
      <c r="G42" s="83"/>
      <c r="H42" s="83"/>
      <c r="I42" s="83"/>
    </row>
    <row r="43" spans="1:9" x14ac:dyDescent="0.3">
      <c r="A43" s="83"/>
      <c r="B43" s="83"/>
      <c r="C43" s="83"/>
      <c r="D43" s="83"/>
      <c r="E43" s="83"/>
      <c r="F43" s="83"/>
      <c r="G43" s="83"/>
      <c r="H43" s="83"/>
      <c r="I43" s="83"/>
    </row>
    <row r="44" spans="1:9" x14ac:dyDescent="0.3">
      <c r="A44" s="83"/>
      <c r="B44" s="83"/>
      <c r="C44" s="83"/>
      <c r="D44" s="83"/>
      <c r="E44" s="83"/>
      <c r="F44" s="83"/>
      <c r="G44" s="83"/>
      <c r="H44" s="83"/>
      <c r="I44" s="83"/>
    </row>
    <row r="45" spans="1:9" x14ac:dyDescent="0.3">
      <c r="A45" s="83"/>
      <c r="B45" s="83"/>
      <c r="C45" s="83"/>
      <c r="D45" s="83"/>
      <c r="E45" s="83"/>
      <c r="F45" s="83"/>
      <c r="G45" s="83"/>
      <c r="H45" s="83"/>
      <c r="I45" s="83"/>
    </row>
    <row r="46" spans="1:9" x14ac:dyDescent="0.3">
      <c r="A46" s="83"/>
      <c r="B46" s="83"/>
      <c r="C46" s="83"/>
      <c r="D46" s="83"/>
      <c r="E46" s="83"/>
      <c r="F46" s="83"/>
      <c r="G46" s="83"/>
      <c r="H46" s="83"/>
      <c r="I46" s="83"/>
    </row>
    <row r="47" spans="1:9" x14ac:dyDescent="0.3">
      <c r="A47" s="83"/>
      <c r="B47" s="83"/>
      <c r="C47" s="83"/>
      <c r="D47" s="83"/>
      <c r="E47" s="83"/>
      <c r="F47" s="83"/>
      <c r="G47" s="83"/>
      <c r="H47" s="83"/>
      <c r="I47" s="83"/>
    </row>
    <row r="48" spans="1:9" x14ac:dyDescent="0.3">
      <c r="A48" s="83"/>
      <c r="B48" s="83"/>
      <c r="C48" s="83"/>
      <c r="D48" s="83"/>
      <c r="E48" s="83"/>
      <c r="F48" s="83"/>
      <c r="G48" s="83"/>
      <c r="H48" s="83"/>
      <c r="I48" s="83"/>
    </row>
    <row r="49" spans="1:9" x14ac:dyDescent="0.3">
      <c r="A49" s="83"/>
      <c r="B49" s="83"/>
      <c r="C49" s="83"/>
      <c r="D49" s="83"/>
      <c r="E49" s="83"/>
      <c r="F49" s="83"/>
      <c r="G49" s="83"/>
      <c r="H49" s="83"/>
      <c r="I49" s="83"/>
    </row>
    <row r="50" spans="1:9" x14ac:dyDescent="0.3">
      <c r="A50" s="83"/>
      <c r="B50" s="83"/>
      <c r="C50" s="83"/>
      <c r="D50" s="83"/>
      <c r="E50" s="83"/>
      <c r="F50" s="83"/>
      <c r="G50" s="83"/>
      <c r="H50" s="83"/>
      <c r="I50" s="83"/>
    </row>
    <row r="51" spans="1:9" x14ac:dyDescent="0.3">
      <c r="A51" s="83"/>
      <c r="B51" s="83"/>
      <c r="C51" s="83"/>
      <c r="D51" s="83"/>
      <c r="E51" s="83"/>
      <c r="F51" s="83"/>
      <c r="G51" s="83"/>
      <c r="H51" s="83"/>
      <c r="I51" s="83"/>
    </row>
    <row r="52" spans="1:9" x14ac:dyDescent="0.3">
      <c r="A52" s="83"/>
      <c r="B52" s="83"/>
      <c r="C52" s="83"/>
      <c r="D52" s="83"/>
      <c r="E52" s="83"/>
      <c r="F52" s="83"/>
      <c r="G52" s="83"/>
      <c r="H52" s="83"/>
      <c r="I52" s="83"/>
    </row>
    <row r="53" spans="1:9" x14ac:dyDescent="0.3">
      <c r="A53" s="83"/>
      <c r="B53" s="83"/>
      <c r="C53" s="83"/>
      <c r="D53" s="83"/>
      <c r="E53" s="83"/>
      <c r="F53" s="83"/>
      <c r="G53" s="83"/>
      <c r="H53" s="83"/>
      <c r="I53" s="83"/>
    </row>
    <row r="54" spans="1:9" x14ac:dyDescent="0.3">
      <c r="A54" s="83"/>
      <c r="B54" s="83"/>
      <c r="C54" s="83"/>
      <c r="D54" s="83"/>
      <c r="E54" s="83"/>
      <c r="F54" s="83"/>
      <c r="G54" s="83"/>
      <c r="H54" s="83"/>
      <c r="I54" s="83"/>
    </row>
    <row r="55" spans="1:9" x14ac:dyDescent="0.3">
      <c r="A55" s="83"/>
      <c r="B55" s="83"/>
      <c r="C55" s="83"/>
      <c r="D55" s="83"/>
      <c r="E55" s="83"/>
      <c r="F55" s="83"/>
      <c r="G55" s="83"/>
      <c r="H55" s="83"/>
      <c r="I55" s="83"/>
    </row>
    <row r="56" spans="1:9" x14ac:dyDescent="0.3">
      <c r="A56" s="83"/>
      <c r="B56" s="83"/>
      <c r="C56" s="83"/>
      <c r="D56" s="83"/>
      <c r="E56" s="83"/>
      <c r="F56" s="83"/>
      <c r="G56" s="83"/>
      <c r="H56" s="83"/>
      <c r="I56" s="83"/>
    </row>
    <row r="57" spans="1:9" x14ac:dyDescent="0.3">
      <c r="A57" s="83"/>
      <c r="B57" s="83"/>
      <c r="C57" s="83"/>
      <c r="D57" s="83"/>
      <c r="E57" s="83"/>
      <c r="F57" s="83"/>
      <c r="G57" s="83"/>
      <c r="H57" s="83"/>
      <c r="I57" s="83"/>
    </row>
    <row r="58" spans="1:9" x14ac:dyDescent="0.3">
      <c r="A58" s="83"/>
      <c r="B58" s="83"/>
      <c r="C58" s="83"/>
      <c r="D58" s="83"/>
      <c r="E58" s="83"/>
      <c r="F58" s="83"/>
      <c r="G58" s="83"/>
      <c r="H58" s="83"/>
      <c r="I58" s="83"/>
    </row>
    <row r="59" spans="1:9" x14ac:dyDescent="0.3">
      <c r="A59" s="83"/>
      <c r="B59" s="83"/>
      <c r="C59" s="83"/>
      <c r="D59" s="83"/>
      <c r="E59" s="83"/>
      <c r="F59" s="83"/>
      <c r="G59" s="83"/>
      <c r="H59" s="83"/>
      <c r="I59" s="83"/>
    </row>
    <row r="60" spans="1:9" x14ac:dyDescent="0.3">
      <c r="A60" s="83"/>
      <c r="B60" s="83"/>
      <c r="C60" s="83"/>
      <c r="D60" s="83"/>
      <c r="E60" s="83"/>
      <c r="F60" s="83"/>
      <c r="G60" s="83"/>
      <c r="H60" s="83"/>
      <c r="I60" s="83"/>
    </row>
    <row r="61" spans="1:9" x14ac:dyDescent="0.3">
      <c r="A61" s="83"/>
      <c r="B61" s="83"/>
      <c r="C61" s="83"/>
      <c r="D61" s="83"/>
      <c r="E61" s="83"/>
      <c r="F61" s="83"/>
      <c r="G61" s="83"/>
      <c r="H61" s="83"/>
      <c r="I61" s="83"/>
    </row>
    <row r="62" spans="1:9" x14ac:dyDescent="0.3">
      <c r="A62" s="83"/>
      <c r="B62" s="83"/>
      <c r="C62" s="83"/>
      <c r="D62" s="83"/>
      <c r="E62" s="83"/>
      <c r="F62" s="83"/>
      <c r="G62" s="83"/>
      <c r="H62" s="83"/>
      <c r="I62" s="83"/>
    </row>
    <row r="63" spans="1:9" x14ac:dyDescent="0.3">
      <c r="A63" s="83"/>
      <c r="B63" s="83"/>
      <c r="C63" s="83"/>
      <c r="D63" s="83"/>
      <c r="E63" s="83"/>
      <c r="F63" s="83"/>
      <c r="G63" s="83"/>
      <c r="H63" s="83"/>
      <c r="I63" s="83"/>
    </row>
    <row r="64" spans="1:9" x14ac:dyDescent="0.3">
      <c r="A64" s="83"/>
      <c r="B64" s="83"/>
      <c r="C64" s="83"/>
      <c r="D64" s="83"/>
      <c r="E64" s="83"/>
      <c r="F64" s="83"/>
      <c r="G64" s="83"/>
      <c r="H64" s="83"/>
      <c r="I64" s="83"/>
    </row>
    <row r="65" spans="1:9" x14ac:dyDescent="0.3">
      <c r="A65" s="83"/>
      <c r="B65" s="83"/>
      <c r="C65" s="83"/>
      <c r="D65" s="83"/>
      <c r="E65" s="83"/>
      <c r="F65" s="83"/>
      <c r="G65" s="83"/>
      <c r="H65" s="83"/>
      <c r="I65" s="83"/>
    </row>
    <row r="66" spans="1:9" x14ac:dyDescent="0.3">
      <c r="A66" s="83"/>
      <c r="B66" s="83"/>
      <c r="C66" s="83"/>
      <c r="D66" s="83"/>
      <c r="E66" s="83"/>
      <c r="F66" s="83"/>
      <c r="G66" s="83"/>
      <c r="H66" s="83"/>
      <c r="I66" s="83"/>
    </row>
    <row r="67" spans="1:9" x14ac:dyDescent="0.3">
      <c r="A67" s="83"/>
      <c r="B67" s="83"/>
      <c r="C67" s="83"/>
      <c r="D67" s="83"/>
      <c r="E67" s="83"/>
      <c r="F67" s="83"/>
      <c r="G67" s="83"/>
      <c r="H67" s="83"/>
      <c r="I67" s="83"/>
    </row>
    <row r="68" spans="1:9" x14ac:dyDescent="0.3">
      <c r="A68" s="83"/>
      <c r="B68" s="83"/>
      <c r="C68" s="83"/>
      <c r="D68" s="83"/>
      <c r="E68" s="83"/>
      <c r="F68" s="83"/>
      <c r="G68" s="83"/>
      <c r="H68" s="83"/>
      <c r="I68" s="83"/>
    </row>
    <row r="69" spans="1:9" x14ac:dyDescent="0.3">
      <c r="A69" s="83"/>
      <c r="B69" s="83"/>
      <c r="C69" s="83"/>
      <c r="D69" s="83"/>
      <c r="E69" s="83"/>
      <c r="F69" s="83"/>
      <c r="G69" s="83"/>
      <c r="H69" s="83"/>
      <c r="I69" s="83"/>
    </row>
    <row r="70" spans="1:9" x14ac:dyDescent="0.3">
      <c r="A70" s="83"/>
      <c r="B70" s="83"/>
      <c r="C70" s="83"/>
      <c r="D70" s="83"/>
      <c r="E70" s="83"/>
      <c r="F70" s="83"/>
      <c r="G70" s="83"/>
      <c r="H70" s="83"/>
      <c r="I70" s="83"/>
    </row>
    <row r="71" spans="1:9" x14ac:dyDescent="0.3">
      <c r="A71" s="83"/>
      <c r="B71" s="83"/>
      <c r="C71" s="83"/>
      <c r="D71" s="83"/>
      <c r="E71" s="83"/>
      <c r="F71" s="83"/>
      <c r="G71" s="83"/>
      <c r="H71" s="83"/>
      <c r="I71" s="83"/>
    </row>
    <row r="72" spans="1:9" x14ac:dyDescent="0.3">
      <c r="A72" s="83"/>
      <c r="B72" s="83"/>
      <c r="C72" s="83"/>
      <c r="D72" s="83"/>
      <c r="E72" s="83"/>
      <c r="F72" s="83"/>
      <c r="G72" s="83"/>
      <c r="H72" s="83"/>
      <c r="I72" s="83"/>
    </row>
    <row r="73" spans="1:9" x14ac:dyDescent="0.3">
      <c r="A73" s="83"/>
      <c r="B73" s="83"/>
      <c r="C73" s="83"/>
      <c r="D73" s="83"/>
      <c r="E73" s="83"/>
      <c r="F73" s="83"/>
      <c r="G73" s="83"/>
      <c r="H73" s="83"/>
      <c r="I73" s="83"/>
    </row>
    <row r="74" spans="1:9" x14ac:dyDescent="0.3">
      <c r="A74" s="83"/>
      <c r="B74" s="83"/>
      <c r="C74" s="83"/>
      <c r="D74" s="83"/>
      <c r="E74" s="83"/>
      <c r="F74" s="83"/>
      <c r="G74" s="83"/>
      <c r="H74" s="83"/>
      <c r="I74" s="83"/>
    </row>
    <row r="75" spans="1:9" x14ac:dyDescent="0.3">
      <c r="A75" s="83"/>
      <c r="B75" s="83"/>
      <c r="C75" s="83"/>
      <c r="D75" s="83"/>
      <c r="E75" s="83"/>
      <c r="F75" s="83"/>
      <c r="G75" s="83"/>
      <c r="H75" s="83"/>
      <c r="I75" s="83"/>
    </row>
    <row r="76" spans="1:9" x14ac:dyDescent="0.3">
      <c r="A76" s="83"/>
      <c r="B76" s="83"/>
      <c r="C76" s="83"/>
      <c r="D76" s="83"/>
      <c r="E76" s="83"/>
      <c r="F76" s="83"/>
      <c r="G76" s="83"/>
      <c r="H76" s="83"/>
      <c r="I76" s="83"/>
    </row>
    <row r="77" spans="1:9" x14ac:dyDescent="0.3">
      <c r="A77" s="83"/>
      <c r="B77" s="83"/>
      <c r="C77" s="83"/>
      <c r="D77" s="83"/>
      <c r="E77" s="83"/>
      <c r="F77" s="83"/>
      <c r="G77" s="83"/>
      <c r="H77" s="83"/>
      <c r="I77" s="83"/>
    </row>
    <row r="78" spans="1:9" x14ac:dyDescent="0.3">
      <c r="A78" s="83"/>
      <c r="B78" s="83"/>
      <c r="C78" s="83"/>
      <c r="D78" s="83"/>
      <c r="E78" s="83"/>
      <c r="F78" s="83"/>
      <c r="G78" s="83"/>
      <c r="H78" s="83"/>
      <c r="I78" s="83"/>
    </row>
    <row r="79" spans="1:9" x14ac:dyDescent="0.3">
      <c r="A79" s="83"/>
      <c r="B79" s="83"/>
      <c r="C79" s="83"/>
      <c r="D79" s="83"/>
      <c r="E79" s="83"/>
      <c r="F79" s="83"/>
      <c r="G79" s="83"/>
      <c r="H79" s="83"/>
      <c r="I79" s="83"/>
    </row>
    <row r="80" spans="1:9" x14ac:dyDescent="0.3">
      <c r="A80" s="83"/>
      <c r="B80" s="83"/>
      <c r="C80" s="83"/>
      <c r="D80" s="83"/>
      <c r="E80" s="83"/>
      <c r="F80" s="83"/>
      <c r="G80" s="83"/>
      <c r="H80" s="83"/>
      <c r="I80" s="83"/>
    </row>
    <row r="81" spans="1:9" x14ac:dyDescent="0.3">
      <c r="A81" s="83"/>
      <c r="B81" s="83"/>
      <c r="C81" s="83"/>
      <c r="D81" s="83"/>
      <c r="E81" s="83"/>
      <c r="F81" s="83"/>
      <c r="G81" s="83"/>
      <c r="H81" s="83"/>
      <c r="I81" s="83"/>
    </row>
    <row r="82" spans="1:9" x14ac:dyDescent="0.3">
      <c r="A82" s="83"/>
      <c r="B82" s="83"/>
      <c r="C82" s="83"/>
      <c r="D82" s="83"/>
      <c r="E82" s="83"/>
      <c r="F82" s="83"/>
      <c r="G82" s="83"/>
      <c r="H82" s="83"/>
      <c r="I82" s="83"/>
    </row>
    <row r="83" spans="1:9" x14ac:dyDescent="0.3">
      <c r="A83" s="83"/>
      <c r="B83" s="83"/>
      <c r="C83" s="83"/>
      <c r="D83" s="83"/>
      <c r="E83" s="83"/>
      <c r="F83" s="83"/>
      <c r="G83" s="83"/>
      <c r="H83" s="83"/>
      <c r="I83" s="83"/>
    </row>
    <row r="84" spans="1:9" x14ac:dyDescent="0.3">
      <c r="A84" s="83"/>
      <c r="B84" s="83"/>
      <c r="C84" s="83"/>
      <c r="D84" s="83"/>
      <c r="E84" s="83"/>
      <c r="F84" s="83"/>
      <c r="G84" s="83"/>
      <c r="H84" s="83"/>
      <c r="I84" s="83"/>
    </row>
    <row r="85" spans="1:9" x14ac:dyDescent="0.3">
      <c r="A85" s="83"/>
      <c r="B85" s="83"/>
      <c r="C85" s="83"/>
      <c r="D85" s="83"/>
      <c r="E85" s="83"/>
      <c r="F85" s="83"/>
      <c r="G85" s="83"/>
      <c r="H85" s="83"/>
      <c r="I85" s="83"/>
    </row>
    <row r="86" spans="1:9" x14ac:dyDescent="0.3">
      <c r="A86" s="83"/>
      <c r="B86" s="83"/>
      <c r="C86" s="83"/>
      <c r="D86" s="83"/>
      <c r="E86" s="83"/>
      <c r="F86" s="83"/>
      <c r="G86" s="83"/>
      <c r="H86" s="83"/>
      <c r="I86" s="83"/>
    </row>
    <row r="87" spans="1:9" x14ac:dyDescent="0.3">
      <c r="A87" s="83"/>
      <c r="B87" s="83"/>
      <c r="C87" s="83"/>
      <c r="D87" s="83"/>
      <c r="E87" s="83"/>
      <c r="F87" s="83"/>
      <c r="G87" s="83"/>
      <c r="H87" s="83"/>
      <c r="I87" s="83"/>
    </row>
    <row r="88" spans="1:9" ht="16.8" customHeight="1" x14ac:dyDescent="0.3">
      <c r="A88" s="83"/>
      <c r="B88" s="83"/>
      <c r="C88" s="83"/>
      <c r="D88" s="83"/>
      <c r="E88" s="83"/>
      <c r="F88" s="83"/>
      <c r="G88" s="83"/>
      <c r="H88" s="83"/>
      <c r="I88" s="83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80" zoomScaleNormal="80" workbookViewId="0">
      <selection activeCell="H34" sqref="H34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Dato</vt:lpstr>
      <vt:lpstr>Hoja2</vt:lpstr>
      <vt:lpstr>Hoja1</vt:lpstr>
      <vt:lpstr>ET - SGR</vt:lpstr>
      <vt:lpstr>Graficos (2)</vt:lpstr>
      <vt:lpstr>Hoja8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2026-07-08T11:47:12Z</dcterms:modified>
</cp:coreProperties>
</file>